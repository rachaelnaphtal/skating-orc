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chaelnaphtal/Documents/JudgingAnalysis/"/>
    </mc:Choice>
  </mc:AlternateContent>
  <xr:revisionPtr revIDLastSave="0" documentId="8_{392CC87C-4035-7F42-91D8-FF40232AAC5E}" xr6:coauthVersionLast="47" xr6:coauthVersionMax="47" xr10:uidLastSave="{00000000-0000-0000-0000-000000000000}"/>
  <bookViews>
    <workbookView xWindow="680" yWindow="760" windowWidth="28040" windowHeight="17180" xr2:uid="{DF4C1BEB-A23D-F54D-A870-D79ABB30685E}"/>
  </bookViews>
  <sheets>
    <sheet name="new only" sheetId="3" r:id="rId1"/>
    <sheet name="2025_discovered_ijs_competition" sheetId="1" r:id="rId2"/>
    <sheet name="Sheet1" sheetId="2" r:id="rId3"/>
  </sheets>
  <definedNames>
    <definedName name="_xlnm._FilterDatabase" localSheetId="1" hidden="1">'2025_discovered_ijs_competition'!$A$1:$K$299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02" i="1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2" i="2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2" i="1"/>
  <c r="K301" i="1" l="1"/>
</calcChain>
</file>

<file path=xl/sharedStrings.xml><?xml version="1.0" encoding="utf-8"?>
<sst xmlns="http://schemas.openxmlformats.org/spreadsheetml/2006/main" count="2165" uniqueCount="1003">
  <si>
    <t>year</t>
  </si>
  <si>
    <t>competition_id</t>
  </si>
  <si>
    <t>url</t>
  </si>
  <si>
    <t>http_status</t>
  </si>
  <si>
    <t>competition_name</t>
  </si>
  <si>
    <t>start_date</t>
  </si>
  <si>
    <t>end_date</t>
  </si>
  <si>
    <t>location</t>
  </si>
  <si>
    <t>fetched_at_utc</t>
  </si>
  <si>
    <t>probe_error</t>
  </si>
  <si>
    <t>https://ijs.usfigureskating.org/leaderboard/results/2025/30911/index.asp</t>
  </si>
  <si>
    <t>2025 Eastern Adult Sectional FS Championships</t>
  </si>
  <si>
    <t>Extreme Ice Center, Indian Trail, NC</t>
  </si>
  <si>
    <t>2026-05-11T16:21:00+00:00</t>
  </si>
  <si>
    <t>https://ijs.usfigureskating.org/leaderboard/results/2025/30914/index.asp</t>
  </si>
  <si>
    <t>2025 Midwestern Adult Sectional FS Championships</t>
  </si>
  <si>
    <t>Madison, WI</t>
  </si>
  <si>
    <t>2026-05-11T16:21:01+00:00</t>
  </si>
  <si>
    <t>https://ijs.usfigureskating.org/leaderboard/results/2025/30917/index.asp</t>
  </si>
  <si>
    <t>2025 Pacific Coast Adult Sectional FS Championship</t>
  </si>
  <si>
    <t>Paramount, CA</t>
  </si>
  <si>
    <t>https://ijs.usfigureskating.org/leaderboard/results/2025/30920/index.asp</t>
  </si>
  <si>
    <t>2025 U.S. Adult Figure Skating Championships</t>
  </si>
  <si>
    <t>St Louis Park, MN</t>
  </si>
  <si>
    <t>2026-05-11T16:21:02+00:00</t>
  </si>
  <si>
    <t>https://ijs.usfigureskating.org/leaderboard/results/2025/34237/index.asp</t>
  </si>
  <si>
    <t>2025 U.S. Synchronized Skating Championships</t>
  </si>
  <si>
    <t>Colorado Springs, CO</t>
  </si>
  <si>
    <t>2026-05-11T16:32:02+00:00</t>
  </si>
  <si>
    <t>https://ijs.usfigureskating.org/leaderboard/results/2025/34239/index.asp</t>
  </si>
  <si>
    <t>2025 Eastern Synchronized Skating Sectional Champi</t>
  </si>
  <si>
    <t>Hershey, PA</t>
  </si>
  <si>
    <t>2026-05-11T16:32:03+00:00</t>
  </si>
  <si>
    <t>https://ijs.usfigureskating.org/leaderboard/results/2025/34240/index.asp</t>
  </si>
  <si>
    <t>2025 Midwestern Synchronized Skating Sectional Cha</t>
  </si>
  <si>
    <t>Kalamazoo, MI</t>
  </si>
  <si>
    <t>https://ijs.usfigureskating.org/leaderboard/results/2025/34241/index.asp</t>
  </si>
  <si>
    <t>2025 Pacific Coast Synchronized Skating Sectional</t>
  </si>
  <si>
    <t>Irvine, CA</t>
  </si>
  <si>
    <t>https://ijs.usfigureskating.org/leaderboard/results/2025/34252/index.asp</t>
  </si>
  <si>
    <t>2026 Eastern Sectional Singles Final</t>
  </si>
  <si>
    <t>North Charleston, SC</t>
  </si>
  <si>
    <t>2026-05-11T16:32:06+00:00</t>
  </si>
  <si>
    <t>https://ijs.usfigureskating.org/leaderboard/results/2025/34253/index.asp</t>
  </si>
  <si>
    <t>2026 Midwestern Sectional Singles - U.S. Pairs Fin</t>
  </si>
  <si>
    <t>East Lansing, MI</t>
  </si>
  <si>
    <t>https://ijs.usfigureskating.org/leaderboard/results/2025/34254/index.asp</t>
  </si>
  <si>
    <t>2026 Pacific Coast Sectional Singles - U.S. Ice Da</t>
  </si>
  <si>
    <t>Henderson, NV</t>
  </si>
  <si>
    <t>https://ijs.usfigureskating.org/leaderboard/results/2025/34272/index.asp</t>
  </si>
  <si>
    <t>2025 U.S. Collegiate Championships - Invitational</t>
  </si>
  <si>
    <t>Flossmoor, IL</t>
  </si>
  <si>
    <t>2026-05-11T16:32:10+00:00</t>
  </si>
  <si>
    <t>https://ijs.usfigureskating.org/leaderboard/results/2025/34424/index.asp</t>
  </si>
  <si>
    <t>Fort Collins Classic 2025</t>
  </si>
  <si>
    <t>Fort Collins, CO</t>
  </si>
  <si>
    <t>2026-05-11T16:32:42+00:00</t>
  </si>
  <si>
    <t>https://ijs.usfigureskating.org/leaderboard/results/2025/35103/index.asp</t>
  </si>
  <si>
    <t>NQS - 2025 Greater Chicagoland Fall Invitational</t>
  </si>
  <si>
    <t>Evanston, IL</t>
  </si>
  <si>
    <t>2026-05-11T16:34:57+00:00</t>
  </si>
  <si>
    <t>https://ijs.usfigureskating.org/leaderboard/results/2025/35490/index.asp</t>
  </si>
  <si>
    <t>2025 Synchro Illinois</t>
  </si>
  <si>
    <t>2026-05-11T16:36:14+00:00</t>
  </si>
  <si>
    <t>https://ijs.usfigureskating.org/leaderboard/results/2025/35537/index.asp</t>
  </si>
  <si>
    <t>3rd Annual Paradise Coast Classic</t>
  </si>
  <si>
    <t>Estero, FL</t>
  </si>
  <si>
    <t>2026-05-11T16:36:24+00:00</t>
  </si>
  <si>
    <t>https://ijs.usfigureskating.org/leaderboard/results/2025/35539/index.asp</t>
  </si>
  <si>
    <t>2025 Prevagen U.S. Figure Skating Championships</t>
  </si>
  <si>
    <t>Wichita, KS</t>
  </si>
  <si>
    <t>https://ijs.usfigureskating.org/leaderboard/results/2025/35551/index.asp</t>
  </si>
  <si>
    <t>2025 Colonial Classic Synchronized Skating Competi</t>
  </si>
  <si>
    <t>Lowell, MA</t>
  </si>
  <si>
    <t>2026-05-11T16:36:27+00:00</t>
  </si>
  <si>
    <t>https://ijs.usfigureskating.org/leaderboard/results/2025/35558/index.asp</t>
  </si>
  <si>
    <t>2025 Ohio High School Team Championships</t>
  </si>
  <si>
    <t>Shaker Heights, Ohio</t>
  </si>
  <si>
    <t>2026-05-11T16:36:28+00:00</t>
  </si>
  <si>
    <t>https://ijs.usfigureskating.org/leaderboard/results/2025/35560/index.asp</t>
  </si>
  <si>
    <t>Utah Skatefest 2025</t>
  </si>
  <si>
    <t>West Valley City, UT</t>
  </si>
  <si>
    <t>2026-05-11T16:36:29+00:00</t>
  </si>
  <si>
    <t>https://ijs.usfigureskating.org/leaderboard/results/2025/35569/index.asp</t>
  </si>
  <si>
    <t>2025 Connecticut Synchronized Skating Classic</t>
  </si>
  <si>
    <t>Hamden, CT</t>
  </si>
  <si>
    <t>2026-05-11T16:36:31+00:00</t>
  </si>
  <si>
    <t>https://ijs.usfigureskating.org/leaderboard/results/2025/35601/index.asp</t>
  </si>
  <si>
    <t>Swan Synchro Skate 2025</t>
  </si>
  <si>
    <t>Beaver Dam, WI</t>
  </si>
  <si>
    <t>2026-05-11T16:36:37+00:00</t>
  </si>
  <si>
    <t>https://ijs.usfigureskating.org/leaderboard/results/2025/35604/index.asp</t>
  </si>
  <si>
    <t>Massena Figure Skating Inviational Competition 202</t>
  </si>
  <si>
    <t>Massena, NY</t>
  </si>
  <si>
    <t>2026-05-11T16:36:38+00:00</t>
  </si>
  <si>
    <t>https://ijs.usfigureskating.org/leaderboard/results/2025/35609/index.asp</t>
  </si>
  <si>
    <t>2025 Omaha Winter Festival</t>
  </si>
  <si>
    <t>Omaha, NE</t>
  </si>
  <si>
    <t>2026-05-11T16:36:39+00:00</t>
  </si>
  <si>
    <t>https://ijs.usfigureskating.org/leaderboard/results/2025/35612/index.asp</t>
  </si>
  <si>
    <t>2025 Tri-State Synchronized Skating Competition</t>
  </si>
  <si>
    <t>Mentor, OH</t>
  </si>
  <si>
    <t>2026-05-11T16:36:40+00:00</t>
  </si>
  <si>
    <t>https://ijs.usfigureskating.org/leaderboard/results/2025/35623/index.asp</t>
  </si>
  <si>
    <t>2025 Black Hills Gold Rush</t>
  </si>
  <si>
    <t>Rapid City, SD</t>
  </si>
  <si>
    <t>2026-05-11T16:36:42+00:00</t>
  </si>
  <si>
    <t>https://ijs.usfigureskating.org/leaderboard/results/2025/35624/index.asp</t>
  </si>
  <si>
    <t>2025 Splash of the Sound</t>
  </si>
  <si>
    <t>Bremerton, WA</t>
  </si>
  <si>
    <t>2026-05-11T16:36:43+00:00</t>
  </si>
  <si>
    <t>https://ijs.usfigureskating.org/leaderboard/results/2025/35636/index.asp</t>
  </si>
  <si>
    <t>NQS - 2025 Carousel Classic</t>
  </si>
  <si>
    <t>Eugene, OR</t>
  </si>
  <si>
    <t>2026-05-11T16:36:45+00:00</t>
  </si>
  <si>
    <t>https://ijs.usfigureskating.org/leaderboard/results/2025/35637/index.asp</t>
  </si>
  <si>
    <t>2025 Silicon Valley Open Non-Qualifying Competitio</t>
  </si>
  <si>
    <t>San Jose, CA</t>
  </si>
  <si>
    <t>2026-05-11T16:36:46+00:00</t>
  </si>
  <si>
    <t>https://ijs.usfigureskating.org/leaderboard/results/2025/35638/index.asp</t>
  </si>
  <si>
    <t>NQS - 2025 Silicon Valley Open</t>
  </si>
  <si>
    <t>https://ijs.usfigureskating.org/leaderboard/results/2025/35645/index.asp</t>
  </si>
  <si>
    <t>NQS - 2025 Glacier Falls Summer Classic</t>
  </si>
  <si>
    <t>Anaheim, CA</t>
  </si>
  <si>
    <t>2026-05-11T16:36:47+00:00</t>
  </si>
  <si>
    <t>https://ijs.usfigureskating.org/leaderboard/results/2025/35653/index.asp</t>
  </si>
  <si>
    <t>NQS 2025 Golden West Championships</t>
  </si>
  <si>
    <t>2026-05-11T16:36:49+00:00</t>
  </si>
  <si>
    <t>https://ijs.usfigureskating.org/leaderboard/results/2025/35654/index.asp</t>
  </si>
  <si>
    <t>2025 Colorado Springs Invitational-RMSG</t>
  </si>
  <si>
    <t>Monument, CO</t>
  </si>
  <si>
    <t>https://ijs.usfigureskating.org/leaderboard/results/2025/35655/index.asp</t>
  </si>
  <si>
    <t>38th Annual FL Open Figure Skating Championships</t>
  </si>
  <si>
    <t>Orlando, FL</t>
  </si>
  <si>
    <t>2026-05-11T16:36:50+00:00</t>
  </si>
  <si>
    <t>https://ijs.usfigureskating.org/leaderboard/results/2025/35656/index.asp</t>
  </si>
  <si>
    <t>First Coast Classic 2025</t>
  </si>
  <si>
    <t>Jacksonville, FL</t>
  </si>
  <si>
    <t>https://ijs.usfigureskating.org/leaderboard/results/2025/35657/index.asp</t>
  </si>
  <si>
    <t>2025 Westchester Classic</t>
  </si>
  <si>
    <t>Rye, NY</t>
  </si>
  <si>
    <t>https://ijs.usfigureskating.org/leaderboard/results/2025/35664/index.asp</t>
  </si>
  <si>
    <t>NQS - 2025 Atlanta Open</t>
  </si>
  <si>
    <t>Cumming, GA</t>
  </si>
  <si>
    <t>2026-05-11T16:36:52+00:00</t>
  </si>
  <si>
    <t>https://ijs.usfigureskating.org/leaderboard/results/2025/35672/index.asp</t>
  </si>
  <si>
    <t>NQS - SDS - 2025 Lake Placid Ice Dance Championshi</t>
  </si>
  <si>
    <t>Lake Placid, NY</t>
  </si>
  <si>
    <t>2026-05-11T16:36:54+00:00</t>
  </si>
  <si>
    <t>https://ijs.usfigureskating.org/leaderboard/results/2025/35676/index.asp</t>
  </si>
  <si>
    <t>2025 Red River Valley International Classic</t>
  </si>
  <si>
    <t>Moorhead, MN</t>
  </si>
  <si>
    <t>2026-05-11T16:36:55+00:00</t>
  </si>
  <si>
    <t>https://ijs.usfigureskating.org/leaderboard/results/2025/35701/index.asp</t>
  </si>
  <si>
    <t>NQS - 2025 Philadelphia Summer Championships</t>
  </si>
  <si>
    <t>Aston, PA</t>
  </si>
  <si>
    <t>2026-05-11T16:37:00+00:00</t>
  </si>
  <si>
    <t>https://ijs.usfigureskating.org/leaderboard/results/2025/35712/index.asp</t>
  </si>
  <si>
    <t>2025 Skate Chautauqua</t>
  </si>
  <si>
    <t>Jamestown, NY</t>
  </si>
  <si>
    <t>2026-05-11T16:37:02+00:00</t>
  </si>
  <si>
    <t>https://ijs.usfigureskating.org/leaderboard/results/2025/35715/index.asp</t>
  </si>
  <si>
    <t>2025 San Diego Sweetheart Classic Synchro</t>
  </si>
  <si>
    <t>Poway, CA</t>
  </si>
  <si>
    <t>2026-05-11T16:37:03+00:00</t>
  </si>
  <si>
    <t>https://ijs.usfigureskating.org/leaderboard/results/2025/35717/index.asp</t>
  </si>
  <si>
    <t>2025 Metro Indy Skating Challenge</t>
  </si>
  <si>
    <t>Carmel, IN</t>
  </si>
  <si>
    <t>https://ijs.usfigureskating.org/leaderboard/results/2025/35719/index.asp</t>
  </si>
  <si>
    <t>2025 Colonial Open</t>
  </si>
  <si>
    <t>Boxborough, MA</t>
  </si>
  <si>
    <t>2026-05-11T16:37:04+00:00</t>
  </si>
  <si>
    <t>https://ijs.usfigureskating.org/leaderboard/results/2025/35720/index.asp</t>
  </si>
  <si>
    <t>2025 Eastern Iowa Invitational</t>
  </si>
  <si>
    <t>Cedar Rapids, IA</t>
  </si>
  <si>
    <t>https://ijs.usfigureskating.org/leaderboard/results/2025/35721/index.asp</t>
  </si>
  <si>
    <t>2025 Jo Williams Memorial Cup</t>
  </si>
  <si>
    <t>Spokane, WA</t>
  </si>
  <si>
    <t>2026-05-11T16:37:05+00:00</t>
  </si>
  <si>
    <t>https://ijs.usfigureskating.org/leaderboard/results/2025/35722/index.asp</t>
  </si>
  <si>
    <t>2025 Sierra Nevada Ice Classic</t>
  </si>
  <si>
    <t>Reno, NV</t>
  </si>
  <si>
    <t>https://ijs.usfigureskating.org/leaderboard/results/2025/35723/index.asp</t>
  </si>
  <si>
    <t>2025 Princeton Lisa McGraw Webster Spring Classic</t>
  </si>
  <si>
    <t>Princeton, NJ</t>
  </si>
  <si>
    <t>https://ijs.usfigureskating.org/leaderboard/results/2025/35724/index.asp</t>
  </si>
  <si>
    <t>2025 Cardinal Classic</t>
  </si>
  <si>
    <t>Woodbridge, VA</t>
  </si>
  <si>
    <t>2026-05-11T16:37:06+00:00</t>
  </si>
  <si>
    <t>https://ijs.usfigureskating.org/leaderboard/results/2025/35725/index.asp</t>
  </si>
  <si>
    <t>46th Annual Pasadena Open Championships</t>
  </si>
  <si>
    <t>Pasadena, CA</t>
  </si>
  <si>
    <t>https://ijs.usfigureskating.org/leaderboard/results/2025/35726/index.asp</t>
  </si>
  <si>
    <t>2025 Copper State Classic</t>
  </si>
  <si>
    <t>Mesa, AZ</t>
  </si>
  <si>
    <t>https://ijs.usfigureskating.org/leaderboard/results/2025/35728/index.asp</t>
  </si>
  <si>
    <t>2025 Houston Invitational</t>
  </si>
  <si>
    <t>Houston, TX</t>
  </si>
  <si>
    <t>2026-05-11T16:37:07+00:00</t>
  </si>
  <si>
    <t>https://ijs.usfigureskating.org/leaderboard/results/2025/35729/index.asp</t>
  </si>
  <si>
    <t>CRC Kickoff 2025</t>
  </si>
  <si>
    <t>Chesapeake, VA</t>
  </si>
  <si>
    <t>https://ijs.usfigureskating.org/leaderboard/results/2025/35730/index.asp</t>
  </si>
  <si>
    <t>Ice Fest 2025</t>
  </si>
  <si>
    <t>Mountlake Ter, WA</t>
  </si>
  <si>
    <t>2026-05-11T16:37:08+00:00</t>
  </si>
  <si>
    <t>https://ijs.usfigureskating.org/leaderboard/results/2025/35731/index.asp</t>
  </si>
  <si>
    <t>2025 Genesee Invitational</t>
  </si>
  <si>
    <t>Rochester, NY</t>
  </si>
  <si>
    <t>https://ijs.usfigureskating.org/leaderboard/results/2025/35733/index.asp</t>
  </si>
  <si>
    <t>2025 Nassau County Figure Skating Championship</t>
  </si>
  <si>
    <t>Hicksville, NY</t>
  </si>
  <si>
    <t>https://ijs.usfigureskating.org/leaderboard/results/2025/35734/index.asp</t>
  </si>
  <si>
    <t>NQS - 2025 LA Autumn Classic</t>
  </si>
  <si>
    <t>El Segundo, CA</t>
  </si>
  <si>
    <t>2026-05-11T16:37:09+00:00</t>
  </si>
  <si>
    <t>https://ijs.usfigureskating.org/leaderboard/results/2025/35735/index.asp</t>
  </si>
  <si>
    <t>20th Annual California Championships</t>
  </si>
  <si>
    <t>Artesia, CA</t>
  </si>
  <si>
    <t>https://ijs.usfigureskating.org/leaderboard/results/2025/35739/index.asp</t>
  </si>
  <si>
    <t>Braemar Competition 2025</t>
  </si>
  <si>
    <t>Edina, MN</t>
  </si>
  <si>
    <t>2026-05-11T16:37:10+00:00</t>
  </si>
  <si>
    <t>https://ijs.usfigureskating.org/leaderboard/results/2025/35740/index.asp</t>
  </si>
  <si>
    <t>2025 Traverse City Cherry Classic</t>
  </si>
  <si>
    <t>Traverse City, MI</t>
  </si>
  <si>
    <t>https://ijs.usfigureskating.org/leaderboard/results/2025/35742/index.asp</t>
  </si>
  <si>
    <t>2025 Champlain Valley Open</t>
  </si>
  <si>
    <t>Burlington, VT</t>
  </si>
  <si>
    <t>2026-05-11T16:37:11+00:00</t>
  </si>
  <si>
    <t>https://ijs.usfigureskating.org/leaderboard/results/2025/35743/index.asp</t>
  </si>
  <si>
    <t>NQS - 2025 Texas Trophy</t>
  </si>
  <si>
    <t>Plano, TX</t>
  </si>
  <si>
    <t>https://ijs.usfigureskating.org/leaderboard/results/2025/35744/index.asp</t>
  </si>
  <si>
    <t>Skate Dallas 2025</t>
  </si>
  <si>
    <t>Allen, TX</t>
  </si>
  <si>
    <t>2026-05-11T16:37:12+00:00</t>
  </si>
  <si>
    <t>https://ijs.usfigureskating.org/leaderboard/results/2025/35746/index.asp</t>
  </si>
  <si>
    <t>2025 Sunflower Classic</t>
  </si>
  <si>
    <t>Minnetonka, MN</t>
  </si>
  <si>
    <t>https://ijs.usfigureskating.org/leaderboard/results/2025/35747/index.asp</t>
  </si>
  <si>
    <t>Fiesta Skate 2025</t>
  </si>
  <si>
    <t>Peoria, AZ</t>
  </si>
  <si>
    <t>2026-05-11T16:37:13+00:00</t>
  </si>
  <si>
    <t>https://ijs.usfigureskating.org/leaderboard/results/2025/35748/index.asp</t>
  </si>
  <si>
    <t>2025 White Rose Invitational</t>
  </si>
  <si>
    <t>York, PA</t>
  </si>
  <si>
    <t>https://ijs.usfigureskating.org/leaderboard/results/2025/35750/index.asp</t>
  </si>
  <si>
    <t>2025 Boston Open Spring</t>
  </si>
  <si>
    <t>Norwood, MA</t>
  </si>
  <si>
    <t>2026-05-11T16:37:14+00:00</t>
  </si>
  <si>
    <t>https://ijs.usfigureskating.org/leaderboard/results/2025/35751/index.asp</t>
  </si>
  <si>
    <t>2025 Magic City International Figure Skating Compe</t>
  </si>
  <si>
    <t>Minot, ND</t>
  </si>
  <si>
    <t>https://ijs.usfigureskating.org/leaderboard/results/2025/35754/index.asp</t>
  </si>
  <si>
    <t>36th Annual Eau Claire Figure Skating Competition</t>
  </si>
  <si>
    <t>Eau Claire, WI</t>
  </si>
  <si>
    <t>2026-05-11T16:37:15+00:00</t>
  </si>
  <si>
    <t>https://ijs.usfigureskating.org/leaderboard/results/2025/35755/index.asp</t>
  </si>
  <si>
    <t>36th Annual Eau Claire Figure Skating Competiion (</t>
  </si>
  <si>
    <t>Chippewa Falls, WI</t>
  </si>
  <si>
    <t>https://ijs.usfigureskating.org/leaderboard/results/2025/35756/index.asp</t>
  </si>
  <si>
    <t>2025 Roseville Open Competition</t>
  </si>
  <si>
    <t>Roseville, MN</t>
  </si>
  <si>
    <t>https://ijs.usfigureskating.org/leaderboard/results/2025/35757/index.asp</t>
  </si>
  <si>
    <t>2025 High Altitude Skating Challenge</t>
  </si>
  <si>
    <t>Kearns, UT</t>
  </si>
  <si>
    <t>2026-05-11T16:37:16+00:00</t>
  </si>
  <si>
    <t>https://ijs.usfigureskating.org/leaderboard/results/2025/35758/index.asp</t>
  </si>
  <si>
    <t>2025 Morris Open</t>
  </si>
  <si>
    <t>Morristown, NJ</t>
  </si>
  <si>
    <t>https://ijs.usfigureskating.org/leaderboard/results/2025/35759/index.asp</t>
  </si>
  <si>
    <t>50th Annual Howard E. Van Camp Invitational</t>
  </si>
  <si>
    <t>https://ijs.usfigureskating.org/leaderboard/results/2025/35763/index.asp</t>
  </si>
  <si>
    <t>Skate Vegas 2025</t>
  </si>
  <si>
    <t>2026-05-11T16:37:17+00:00</t>
  </si>
  <si>
    <t>https://ijs.usfigureskating.org/leaderboard/results/2025/35764/index.asp</t>
  </si>
  <si>
    <t>2025 North Shore Open</t>
  </si>
  <si>
    <t>Reading, MA</t>
  </si>
  <si>
    <t>2026-05-11T16:37:18+00:00</t>
  </si>
  <si>
    <t>https://ijs.usfigureskating.org/leaderboard/results/2025/35766/index.asp</t>
  </si>
  <si>
    <t>Skate Wilmington 2025</t>
  </si>
  <si>
    <t>Wilmington, DE</t>
  </si>
  <si>
    <t>https://ijs.usfigureskating.org/leaderboard/results/2025/35768/index.asp</t>
  </si>
  <si>
    <t>45th Annual Nortland Figure Skating Competition</t>
  </si>
  <si>
    <t>Duluth, MN</t>
  </si>
  <si>
    <t>2026-05-11T16:37:19+00:00</t>
  </si>
  <si>
    <t>https://ijs.usfigureskating.org/leaderboard/results/2025/35771/index.asp</t>
  </si>
  <si>
    <t>Skate Nashville 2025</t>
  </si>
  <si>
    <t>Nashville, TN</t>
  </si>
  <si>
    <t>2026-05-11T16:37:20+00:00</t>
  </si>
  <si>
    <t>https://ijs.usfigureskating.org/leaderboard/results/2025/35773/index.asp</t>
  </si>
  <si>
    <t>50th Annual Ladybug Competition</t>
  </si>
  <si>
    <t>https://ijs.usfigureskating.org/leaderboard/results/2025/35774/index.asp</t>
  </si>
  <si>
    <t>2025 Peach Classic</t>
  </si>
  <si>
    <t>Duluth, GA</t>
  </si>
  <si>
    <t>2026-05-11T16:37:21+00:00</t>
  </si>
  <si>
    <t>https://ijs.usfigureskating.org/leaderboard/results/2025/35775/index.asp</t>
  </si>
  <si>
    <t>2025 Orange Blossom</t>
  </si>
  <si>
    <t>Clearwater, FL</t>
  </si>
  <si>
    <t>https://ijs.usfigureskating.org/leaderboard/results/2025/35781/index.asp</t>
  </si>
  <si>
    <t>2025 New Year's Invitational</t>
  </si>
  <si>
    <t>Haymarket, VA</t>
  </si>
  <si>
    <t>2026-05-11T16:37:23+00:00</t>
  </si>
  <si>
    <t>https://ijs.usfigureskating.org/leaderboard/results/2025/35783/index.asp</t>
  </si>
  <si>
    <t>NQS - 2025 Potomac Memorial Open</t>
  </si>
  <si>
    <t>Ashburn, VA</t>
  </si>
  <si>
    <t>https://ijs.usfigureskating.org/leaderboard/results/2025/35784/index.asp</t>
  </si>
  <si>
    <t>2025 Spring Jubilee</t>
  </si>
  <si>
    <t>https://ijs.usfigureskating.org/leaderboard/results/2025/35787/index.asp</t>
  </si>
  <si>
    <t>41st Margaret Faulkner Springtime Invitational</t>
  </si>
  <si>
    <t>Ann Arbor, MI</t>
  </si>
  <si>
    <t>2026-05-11T16:37:25+00:00</t>
  </si>
  <si>
    <t>https://ijs.usfigureskating.org/leaderboard/results/2025/35788/index.asp</t>
  </si>
  <si>
    <t>Magnolia Open 2025</t>
  </si>
  <si>
    <t>Alpharetta, GA</t>
  </si>
  <si>
    <t>https://ijs.usfigureskating.org/leaderboard/results/2025/35791/index.asp</t>
  </si>
  <si>
    <t>13th Annual Snow Town Invitational</t>
  </si>
  <si>
    <t>Watertown, NY</t>
  </si>
  <si>
    <t>2026-05-11T16:37:26+00:00</t>
  </si>
  <si>
    <t>https://ijs.usfigureskating.org/leaderboard/results/2025/35793/index.asp</t>
  </si>
  <si>
    <t>2025 Heart of America Invitational</t>
  </si>
  <si>
    <t>Overland Park, KS</t>
  </si>
  <si>
    <t>https://ijs.usfigureskating.org/leaderboard/results/2025/35795/index.asp</t>
  </si>
  <si>
    <t>Chesapeake Open and Compete USA 2025</t>
  </si>
  <si>
    <t>Laurel, MD</t>
  </si>
  <si>
    <t>2026-05-11T16:37:27+00:00</t>
  </si>
  <si>
    <t>https://ijs.usfigureskating.org/leaderboard/results/2025/35798/index.asp</t>
  </si>
  <si>
    <t>2025 Southport Summer Classic</t>
  </si>
  <si>
    <t>Pleasant Prairie, WI</t>
  </si>
  <si>
    <t>2026-05-11T16:37:28+00:00</t>
  </si>
  <si>
    <t>https://ijs.usfigureskating.org/leaderboard/results/2025/35799/index.asp</t>
  </si>
  <si>
    <t>2025 Northern Star Individual, LTS, and Synchro Co</t>
  </si>
  <si>
    <t>East Grand Forks, MN</t>
  </si>
  <si>
    <t>https://ijs.usfigureskating.org/leaderboard/results/2025/35800/index.asp</t>
  </si>
  <si>
    <t>2025 Reflections Synchro Invitational</t>
  </si>
  <si>
    <t>https://ijs.usfigureskating.org/leaderboard/results/2025/35801/index.asp</t>
  </si>
  <si>
    <t>2025 Columbus Invitational</t>
  </si>
  <si>
    <t>Columbus, IN</t>
  </si>
  <si>
    <t>2026-05-11T16:37:29+00:00</t>
  </si>
  <si>
    <t>https://ijs.usfigureskating.org/leaderboard/results/2025/35803/index.asp</t>
  </si>
  <si>
    <t>The 5th Annual Quad Cities Victory Skate</t>
  </si>
  <si>
    <t>Davenport, IA</t>
  </si>
  <si>
    <t>https://ijs.usfigureskating.org/leaderboard/results/2025/35807/index.asp</t>
  </si>
  <si>
    <t>2025 North Atlantic Open</t>
  </si>
  <si>
    <t>Falmouth, ME</t>
  </si>
  <si>
    <t>2026-05-11T16:37:30+00:00</t>
  </si>
  <si>
    <t>https://ijs.usfigureskating.org/leaderboard/results/2025/35810/index.asp</t>
  </si>
  <si>
    <t>2025 Mountain Classic</t>
  </si>
  <si>
    <t>Wilkes Barre, PA</t>
  </si>
  <si>
    <t>2026-05-11T16:37:31+00:00</t>
  </si>
  <si>
    <t>https://ijs.usfigureskating.org/leaderboard/results/2025/35811/index.asp</t>
  </si>
  <si>
    <t>2025 Skate Kansas City</t>
  </si>
  <si>
    <t>Shawnee, KS</t>
  </si>
  <si>
    <t>https://ijs.usfigureskating.org/leaderboard/results/2025/35813/index.asp</t>
  </si>
  <si>
    <t>2025 First State Spring Classic</t>
  </si>
  <si>
    <t>Newark, DE</t>
  </si>
  <si>
    <t>2026-05-11T16:37:32+00:00</t>
  </si>
  <si>
    <t>https://ijs.usfigureskating.org/leaderboard/results/2025/35815/index.asp</t>
  </si>
  <si>
    <t>2025 Cleveland Invitational Championships</t>
  </si>
  <si>
    <t>Parma, OH</t>
  </si>
  <si>
    <t>2026-05-11T16:37:33+00:00</t>
  </si>
  <si>
    <t>https://ijs.usfigureskating.org/leaderboard/results/2025/35816/index.asp</t>
  </si>
  <si>
    <t>38th Annual Pennsylvania State Championships</t>
  </si>
  <si>
    <t>https://ijs.usfigureskating.org/leaderboard/results/2025/35819/index.asp</t>
  </si>
  <si>
    <t>2025 Oregon Open Figure Skating Championships</t>
  </si>
  <si>
    <t>Medford, OR</t>
  </si>
  <si>
    <t>2026-05-11T16:37:34+00:00</t>
  </si>
  <si>
    <t>https://ijs.usfigureskating.org/leaderboard/results/2025/35821/index.asp</t>
  </si>
  <si>
    <t>NQS - 2025 Maplewood Fall Classic</t>
  </si>
  <si>
    <t>Vadnais Heights, MN</t>
  </si>
  <si>
    <t>https://ijs.usfigureskating.org/leaderboard/results/2025/35822/index.asp</t>
  </si>
  <si>
    <t>2025 Excel and Beyond</t>
  </si>
  <si>
    <t>Bloomington, IL</t>
  </si>
  <si>
    <t>https://ijs.usfigureskating.org/leaderboard/results/2025/35825/index.asp</t>
  </si>
  <si>
    <t>2025 Cactus Classic</t>
  </si>
  <si>
    <t>Scottsdale, AZ</t>
  </si>
  <si>
    <t>2026-05-11T16:37:35+00:00</t>
  </si>
  <si>
    <t>https://ijs.usfigureskating.org/leaderboard/results/2025/35827/index.asp</t>
  </si>
  <si>
    <t>2025 Badger State Games</t>
  </si>
  <si>
    <t>Mosinee, WI</t>
  </si>
  <si>
    <t>2026-05-11T16:37:36+00:00</t>
  </si>
  <si>
    <t>https://ijs.usfigureskating.org/leaderboard/results/2025/35828/index.asp</t>
  </si>
  <si>
    <t>2025 Los Angeles Open Championships</t>
  </si>
  <si>
    <t>Burbank, CA</t>
  </si>
  <si>
    <t>https://ijs.usfigureskating.org/leaderboard/results/2025/35838/index.asp</t>
  </si>
  <si>
    <t>2025 Wichita Mid-Continent Classic</t>
  </si>
  <si>
    <t>2026-05-11T16:37:38+00:00</t>
  </si>
  <si>
    <t>https://ijs.usfigureskating.org/leaderboard/results/2025/35839/index.asp</t>
  </si>
  <si>
    <t>2025 Lake City Classic</t>
  </si>
  <si>
    <t>Coeur D Alene, ID</t>
  </si>
  <si>
    <t>https://ijs.usfigureskating.org/leaderboard/results/2025/35845/index.asp</t>
  </si>
  <si>
    <t>2025 Philadelphia Areas Figure Skating Competition</t>
  </si>
  <si>
    <t>Ardmore, PA</t>
  </si>
  <si>
    <t>2026-05-11T16:37:40+00:00</t>
  </si>
  <si>
    <t>https://ijs.usfigureskating.org/leaderboard/results/2025/35846/index.asp</t>
  </si>
  <si>
    <t>2025 Boise Ice Classic</t>
  </si>
  <si>
    <t>Boise, ID</t>
  </si>
  <si>
    <t>https://ijs.usfigureskating.org/leaderboard/results/2025/35847/index.asp</t>
  </si>
  <si>
    <t>2025 Spring Spectacular</t>
  </si>
  <si>
    <t>2026-05-11T16:37:41+00:00</t>
  </si>
  <si>
    <t>https://ijs.usfigureskating.org/leaderboard/results/2025/35848/index.asp</t>
  </si>
  <si>
    <t>2025 Skate the Lake</t>
  </si>
  <si>
    <t>https://ijs.usfigureskating.org/leaderboard/results/2025/35850/index.asp</t>
  </si>
  <si>
    <t>2025 Oktoberfest</t>
  </si>
  <si>
    <t>Cottonwood Heights, UT</t>
  </si>
  <si>
    <t>https://ijs.usfigureskating.org/leaderboard/results/2025/35853/index.asp</t>
  </si>
  <si>
    <t>2025 Sikumi Invitational (2025 Excel Series Host)</t>
  </si>
  <si>
    <t>Annville, PA</t>
  </si>
  <si>
    <t>2026-05-11T16:37:42+00:00</t>
  </si>
  <si>
    <t>https://ijs.usfigureskating.org/leaderboard/results/2025/35854/index.asp</t>
  </si>
  <si>
    <t>2025 Reach for the Peaks</t>
  </si>
  <si>
    <t>Provo, UT</t>
  </si>
  <si>
    <t>https://ijs.usfigureskating.org/leaderboard/results/2025/35855/index.asp</t>
  </si>
  <si>
    <t>2025 Sugar Skate</t>
  </si>
  <si>
    <t>Sugar Land, TX</t>
  </si>
  <si>
    <t>2026-05-11T16:37:43+00:00</t>
  </si>
  <si>
    <t>https://ijs.usfigureskating.org/leaderboard/results/2025/35856/index.asp</t>
  </si>
  <si>
    <t>2025 Winter Festival</t>
  </si>
  <si>
    <t>Fort Myers, FL</t>
  </si>
  <si>
    <t>https://ijs.usfigureskating.org/leaderboard/results/2025/35857/index.asp</t>
  </si>
  <si>
    <t>2025 Picken Dance Classic</t>
  </si>
  <si>
    <t>Reston, VA</t>
  </si>
  <si>
    <t>https://ijs.usfigureskating.org/leaderboard/results/2025/35859/index.asp</t>
  </si>
  <si>
    <t>2025 Spring Fling</t>
  </si>
  <si>
    <t>Chagrin Falls, OH</t>
  </si>
  <si>
    <t>2026-05-11T16:37:44+00:00</t>
  </si>
  <si>
    <t>https://ijs.usfigureskating.org/leaderboard/results/2025/35863/index.asp</t>
  </si>
  <si>
    <t>2025 Denver Invitational</t>
  </si>
  <si>
    <t>Highlands Ranch, CO</t>
  </si>
  <si>
    <t>2026-05-11T16:37:45+00:00</t>
  </si>
  <si>
    <t>https://ijs.usfigureskating.org/leaderboard/results/2025/35866/index.asp</t>
  </si>
  <si>
    <t>Alamo Skate 2025</t>
  </si>
  <si>
    <t>San Antonio, TX</t>
  </si>
  <si>
    <t>2026-05-11T16:37:46+00:00</t>
  </si>
  <si>
    <t>https://ijs.usfigureskating.org/leaderboard/results/2025/35868/index.asp</t>
  </si>
  <si>
    <t>Spring Funtastics 2025</t>
  </si>
  <si>
    <t>Arvada, CO</t>
  </si>
  <si>
    <t>https://ijs.usfigureskating.org/leaderboard/results/2025/35869/index.asp</t>
  </si>
  <si>
    <t>2025 Cup of Colorado</t>
  </si>
  <si>
    <t>2026-05-11T16:37:47+00:00</t>
  </si>
  <si>
    <t>https://ijs.usfigureskating.org/leaderboard/results/2025/35870/index.asp</t>
  </si>
  <si>
    <t>Copper Cup 2025</t>
  </si>
  <si>
    <t>Bountiful, UT</t>
  </si>
  <si>
    <t>https://ijs.usfigureskating.org/leaderboard/results/2025/35872/index.asp</t>
  </si>
  <si>
    <t>2025 Magic City Ice Classic</t>
  </si>
  <si>
    <t>Pelham, AL</t>
  </si>
  <si>
    <t>2026-05-11T16:37:48+00:00</t>
  </si>
  <si>
    <t>https://ijs.usfigureskating.org/leaderboard/results/2025/35875/index.asp</t>
  </si>
  <si>
    <t>2025 W.I.M. Competition</t>
  </si>
  <si>
    <t>Milwaukee, WI</t>
  </si>
  <si>
    <t>https://ijs.usfigureskating.org/leaderboard/results/2025/35876/index.asp</t>
  </si>
  <si>
    <t>2025 South Eastern Great Lakes Competition (SEGL)</t>
  </si>
  <si>
    <t>2026-05-11T16:37:49+00:00</t>
  </si>
  <si>
    <t>https://ijs.usfigureskating.org/leaderboard/results/2025/35877/index.asp</t>
  </si>
  <si>
    <t>2025 Skate Pittsburgh</t>
  </si>
  <si>
    <t>RMU Island Sports Center, Pittsburgh, PA</t>
  </si>
  <si>
    <t>https://ijs.usfigureskating.org/leaderboard/results/2025/35878/index.asp</t>
  </si>
  <si>
    <t>WWFSC Excel Competition 2025</t>
  </si>
  <si>
    <t>Crystal Lake, IL</t>
  </si>
  <si>
    <t>https://ijs.usfigureskating.org/leaderboard/results/2025/35881/index.asp</t>
  </si>
  <si>
    <t>2025 Cape Cod Spring Classic</t>
  </si>
  <si>
    <t>Orleans, MA</t>
  </si>
  <si>
    <t>2026-05-11T16:37:50+00:00</t>
  </si>
  <si>
    <t>https://ijs.usfigureskating.org/leaderboard/results/2025/35882/index.asp</t>
  </si>
  <si>
    <t>2025 Southern Connecticut Open</t>
  </si>
  <si>
    <t>Darien, CT</t>
  </si>
  <si>
    <t>https://ijs.usfigureskating.org/leaderboard/results/2025/35884/index.asp</t>
  </si>
  <si>
    <t>2025 Tri-State Memorial Figure Skating Competition</t>
  </si>
  <si>
    <t>Southgate, MI</t>
  </si>
  <si>
    <t>2026-05-11T16:37:51+00:00</t>
  </si>
  <si>
    <t>https://ijs.usfigureskating.org/leaderboard/results/2025/35885/index.asp</t>
  </si>
  <si>
    <t>2025 Hiawathaland Open &amp; Compete USA Competition</t>
  </si>
  <si>
    <t>Rochester, MN</t>
  </si>
  <si>
    <t>https://ijs.usfigureskating.org/leaderboard/results/2025/35888/index.asp</t>
  </si>
  <si>
    <t>2025 Crystalline Classic</t>
  </si>
  <si>
    <t>Santa Rosa, CA</t>
  </si>
  <si>
    <t>2026-05-11T16:37:52+00:00</t>
  </si>
  <si>
    <t>https://ijs.usfigureskating.org/leaderboard/results/2025/35889/index.asp</t>
  </si>
  <si>
    <t>2025 John Smith Memorial</t>
  </si>
  <si>
    <t>https://ijs.usfigureskating.org/leaderboard/results/2025/35890/index.asp</t>
  </si>
  <si>
    <t>NQS - 2025 Boston Open</t>
  </si>
  <si>
    <t>2026-05-11T16:37:53+00:00</t>
  </si>
  <si>
    <t>https://ijs.usfigureskating.org/leaderboard/results/2025/35891/index.asp</t>
  </si>
  <si>
    <t>NQS - 2025 Cranberry Open</t>
  </si>
  <si>
    <t>https://ijs.usfigureskating.org/leaderboard/results/2025/35892/index.asp</t>
  </si>
  <si>
    <t>2025 Intermountain Classic Figure Skating Champion</t>
  </si>
  <si>
    <t>Park City, UT</t>
  </si>
  <si>
    <t>https://ijs.usfigureskating.org/leaderboard/results/2025/35894/index.asp</t>
  </si>
  <si>
    <t>2025 Last Chance for Solo Dance Skate Kalamazoo</t>
  </si>
  <si>
    <t>2026-05-11T16:37:54+00:00</t>
  </si>
  <si>
    <t>https://ijs.usfigureskating.org/leaderboard/results/2025/35895/index.asp</t>
  </si>
  <si>
    <t>NQS - 2025 DuPage FSC Open Competition</t>
  </si>
  <si>
    <t>https://ijs.usfigureskating.org/leaderboard/results/2025/35899/index.asp</t>
  </si>
  <si>
    <t>2025 Skate Austin Bluebonnet Open</t>
  </si>
  <si>
    <t>Cedar Park, TX</t>
  </si>
  <si>
    <t>2026-05-11T16:37:55+00:00</t>
  </si>
  <si>
    <t>https://ijs.usfigureskating.org/leaderboard/results/2025/35900/index.asp</t>
  </si>
  <si>
    <t>2025 Skate Cleveland NQS</t>
  </si>
  <si>
    <t>Cleveland, OH</t>
  </si>
  <si>
    <t>https://ijs.usfigureskating.org/leaderboard/results/2025/35901/index.asp</t>
  </si>
  <si>
    <t>2025 Blades on Broadway</t>
  </si>
  <si>
    <t>Everett, WA</t>
  </si>
  <si>
    <t>https://ijs.usfigureskating.org/leaderboard/results/2025/35904/index.asp</t>
  </si>
  <si>
    <t>2025 Albert Viviani Memorial-Deborah Burgoyne Nort</t>
  </si>
  <si>
    <t>Wyandotte, MI</t>
  </si>
  <si>
    <t>2026-05-11T16:37:56+00:00</t>
  </si>
  <si>
    <t>https://ijs.usfigureskating.org/leaderboard/results/2025/35905/index.asp</t>
  </si>
  <si>
    <t>NQS - 2025 Silver State Open Championships</t>
  </si>
  <si>
    <t>https://ijs.usfigureskating.org/leaderboard/results/2025/35906/index.asp</t>
  </si>
  <si>
    <t>2025 Skate St. Moritz</t>
  </si>
  <si>
    <t>Oakland, CA</t>
  </si>
  <si>
    <t>2026-05-11T16:37:57+00:00</t>
  </si>
  <si>
    <t>https://ijs.usfigureskating.org/leaderboard/results/2025/35907/index.asp</t>
  </si>
  <si>
    <t>2025 Empire State Winter Games</t>
  </si>
  <si>
    <t>Olympic Center, Lake Placid, NY</t>
  </si>
  <si>
    <t>https://ijs.usfigureskating.org/leaderboard/results/2025/35910/index.asp</t>
  </si>
  <si>
    <t>2025 Mayblades</t>
  </si>
  <si>
    <t>Tacoma, WA</t>
  </si>
  <si>
    <t>2026-05-11T16:37:58+00:00</t>
  </si>
  <si>
    <t>https://ijs.usfigureskating.org/leaderboard/results/2025/35917/index.asp</t>
  </si>
  <si>
    <t>2025 Chi Edge Invitational</t>
  </si>
  <si>
    <t>Darian, IL</t>
  </si>
  <si>
    <t>2026-05-11T16:37:59+00:00</t>
  </si>
  <si>
    <t>https://ijs.usfigureskating.org/leaderboard/results/2025/35922/index.asp</t>
  </si>
  <si>
    <t>2025 44th Annual Ron Carlson Marquette Internation</t>
  </si>
  <si>
    <t>Marquette, MI</t>
  </si>
  <si>
    <t>2026-05-11T16:38:00+00:00</t>
  </si>
  <si>
    <t>https://ijs.usfigureskating.org/leaderboard/results/2025/35923/index.asp</t>
  </si>
  <si>
    <t>2025 Peach Open</t>
  </si>
  <si>
    <t>Atlanta IceForum, Duluth, GA</t>
  </si>
  <si>
    <t>2026-05-11T16:38:01+00:00</t>
  </si>
  <si>
    <t>https://ijs.usfigureskating.org/leaderboard/results/2025/35925/index.asp</t>
  </si>
  <si>
    <t>2025 Theatre On Ice Spring Classic</t>
  </si>
  <si>
    <t>https://ijs.usfigureskating.org/leaderboard/results/2025/35926/index.asp</t>
  </si>
  <si>
    <t>2025 Stillwell Adult Mid-Winter Warmup</t>
  </si>
  <si>
    <t>https://ijs.usfigureskating.org/leaderboard/results/2025/35929/index.asp</t>
  </si>
  <si>
    <t>Celebrate Skating 2025</t>
  </si>
  <si>
    <t>Euclid, Ohio</t>
  </si>
  <si>
    <t>2026-05-11T16:38:02+00:00</t>
  </si>
  <si>
    <t>https://ijs.usfigureskating.org/leaderboard/results/2025/35930/index.asp</t>
  </si>
  <si>
    <t>2025 National Solo Dance Final</t>
  </si>
  <si>
    <t>Salt Lake City, UT</t>
  </si>
  <si>
    <t>https://ijs.usfigureskating.org/leaderboard/results/2025/35939/index.asp</t>
  </si>
  <si>
    <t>2025 BODYARMOR NC State Games</t>
  </si>
  <si>
    <t>Greensboro, NC</t>
  </si>
  <si>
    <t>2026-05-11T16:38:04+00:00</t>
  </si>
  <si>
    <t>https://ijs.usfigureskating.org/leaderboard/results/2025/35941/index.asp</t>
  </si>
  <si>
    <t>2025 Miami Open Championship</t>
  </si>
  <si>
    <t>Miami, FL</t>
  </si>
  <si>
    <t>2026-05-11T16:38:05+00:00</t>
  </si>
  <si>
    <t>https://ijs.usfigureskating.org/leaderboard/results/2025/35942/index.asp</t>
  </si>
  <si>
    <t>2025 Michigan Showcase</t>
  </si>
  <si>
    <t>Hartland, MI</t>
  </si>
  <si>
    <t>https://ijs.usfigureskating.org/leaderboard/results/2025/35943/index.asp</t>
  </si>
  <si>
    <t>U.S. International Solo Ice Dance - Atlanta 2025</t>
  </si>
  <si>
    <t>2026-05-11T16:38:06+00:00</t>
  </si>
  <si>
    <t>https://ijs.usfigureskating.org/leaderboard/results/2025/35945/index.asp</t>
  </si>
  <si>
    <t>2025 La Jolla Open</t>
  </si>
  <si>
    <t>San Diego, CA</t>
  </si>
  <si>
    <t>https://ijs.usfigureskating.org/leaderboard/results/2025/35958/index.asp</t>
  </si>
  <si>
    <t>2025 Louisville Skating Academy Spring Invitationa</t>
  </si>
  <si>
    <t>Louisville, KY</t>
  </si>
  <si>
    <t>2026-05-11T16:38:09+00:00</t>
  </si>
  <si>
    <t>https://ijs.usfigureskating.org/leaderboard/results/2025/35970/index.asp</t>
  </si>
  <si>
    <t>2025 Rising Stars Competition</t>
  </si>
  <si>
    <t>Dublin, CA</t>
  </si>
  <si>
    <t>2026-05-11T16:38:11+00:00</t>
  </si>
  <si>
    <t>https://ijs.usfigureskating.org/leaderboard/results/2025/35972/index.asp</t>
  </si>
  <si>
    <t>2025 Eastern Sectional High School Final</t>
  </si>
  <si>
    <t>2026-05-11T16:38:12+00:00</t>
  </si>
  <si>
    <t>https://ijs.usfigureskating.org/leaderboard/results/2025/35981/index.asp</t>
  </si>
  <si>
    <t>2025 Sun Valley Summer Championships</t>
  </si>
  <si>
    <t>Sun Valley, Idaho</t>
  </si>
  <si>
    <t>2026-05-11T16:38:14+00:00</t>
  </si>
  <si>
    <t>https://ijs.usfigureskating.org/leaderboard/results/2025/35984/index.asp</t>
  </si>
  <si>
    <t>2025 Glacier Challenge</t>
  </si>
  <si>
    <t>Missoula, MT</t>
  </si>
  <si>
    <t>https://ijs.usfigureskating.org/leaderboard/results/2025/35987/index.asp</t>
  </si>
  <si>
    <t>2025 SkateFest Competition</t>
  </si>
  <si>
    <t>Royal Oak, MI</t>
  </si>
  <si>
    <t>2026-05-11T16:38:15+00:00</t>
  </si>
  <si>
    <t>https://ijs.usfigureskating.org/leaderboard/results/2025/35990/index.asp</t>
  </si>
  <si>
    <t>2025 Love Bug Open</t>
  </si>
  <si>
    <t>Credit Union of Texas Event Center, Allen, TX</t>
  </si>
  <si>
    <t>2026-05-11T16:38:16+00:00</t>
  </si>
  <si>
    <t>https://ijs.usfigureskating.org/leaderboard/results/2025/36001/index.asp</t>
  </si>
  <si>
    <t>2025 Cody Spring Classic/Cowboy State Games</t>
  </si>
  <si>
    <t>Cody, Wyoming</t>
  </si>
  <si>
    <t>2026-05-11T16:38:18+00:00</t>
  </si>
  <si>
    <t>https://ijs.usfigureskating.org/leaderboard/results/2025/36006/index.asp</t>
  </si>
  <si>
    <t>2025 Providence Open</t>
  </si>
  <si>
    <t>Providence, RI</t>
  </si>
  <si>
    <t>2026-05-11T16:38:19+00:00</t>
  </si>
  <si>
    <t>https://ijs.usfigureskating.org/leaderboard/results/2025/36035/index.asp</t>
  </si>
  <si>
    <t>2025 Curtain Call North</t>
  </si>
  <si>
    <t>Simi Valley, CA</t>
  </si>
  <si>
    <t>2026-05-11T16:38:25+00:00</t>
  </si>
  <si>
    <t>https://ijs.usfigureskating.org/leaderboard/results/2025/36036/index.asp</t>
  </si>
  <si>
    <t>CRC Kickoff 2025 (TOI ONLY)</t>
  </si>
  <si>
    <t>2026-05-11T16:38:26+00:00</t>
  </si>
  <si>
    <t>https://ijs.usfigureskating.org/leaderboard/results/2025/36045/index.asp</t>
  </si>
  <si>
    <t>2025 Spin into Spring</t>
  </si>
  <si>
    <t>Lewis Center, OH</t>
  </si>
  <si>
    <t>2026-05-11T16:38:27+00:00</t>
  </si>
  <si>
    <t>https://ijs.usfigureskating.org/leaderboard/results/2025/36046/index.asp</t>
  </si>
  <si>
    <t>2025 Denver Invitational (TEAMS Only)</t>
  </si>
  <si>
    <t>2026-05-11T16:38:28+00:00</t>
  </si>
  <si>
    <t>https://ijs.usfigureskating.org/leaderboard/results/2025/36048/index.asp</t>
  </si>
  <si>
    <t>The 25th Annual Wollman Open</t>
  </si>
  <si>
    <t>New York, NY</t>
  </si>
  <si>
    <t>https://ijs.usfigureskating.org/leaderboard/results/2025/36056/index.asp</t>
  </si>
  <si>
    <t>2025 Memorial Trophy</t>
  </si>
  <si>
    <t>2026-05-11T16:38:30+00:00</t>
  </si>
  <si>
    <t>https://ijs.usfigureskating.org/leaderboard/results/2025/36057/index.asp</t>
  </si>
  <si>
    <t>18th Annual June Bug Competition</t>
  </si>
  <si>
    <t>St. Paul, MN</t>
  </si>
  <si>
    <t>https://ijs.usfigureskating.org/leaderboard/results/2025/36063/index.asp</t>
  </si>
  <si>
    <t>2025 Central Carolina Skating Classic</t>
  </si>
  <si>
    <t>Hillsborough, NC</t>
  </si>
  <si>
    <t>2026-05-11T16:38:31+00:00</t>
  </si>
  <si>
    <t>https://ijs.usfigureskating.org/leaderboard/results/2025/36081/index.asp</t>
  </si>
  <si>
    <t>Hollydell Summer Open 2025</t>
  </si>
  <si>
    <t>Sewell, New Jersey</t>
  </si>
  <si>
    <t>2026-05-11T16:38:35+00:00</t>
  </si>
  <si>
    <t>https://ijs.usfigureskating.org/leaderboard/results/2025/36090/index.asp</t>
  </si>
  <si>
    <t>2025 Cardinal Classic Theatre on Ice</t>
  </si>
  <si>
    <t>2026-05-11T16:38:37+00:00</t>
  </si>
  <si>
    <t>https://ijs.usfigureskating.org/leaderboard/results/2025/36094/index.asp</t>
  </si>
  <si>
    <t>2025 Three Rivers Spring Skate</t>
  </si>
  <si>
    <t>Pittsburgh, PA</t>
  </si>
  <si>
    <t>2026-05-11T16:38:38+00:00</t>
  </si>
  <si>
    <t>https://ijs.usfigureskating.org/leaderboard/results/2025/36095/index.asp</t>
  </si>
  <si>
    <t>The Skating Club of Boston Club Competition 2025</t>
  </si>
  <si>
    <t>https://ijs.usfigureskating.org/leaderboard/results/2025/36098/index.asp</t>
  </si>
  <si>
    <t>2025 Pacific Northwest Interclub Skating Champions</t>
  </si>
  <si>
    <t>Spokane, Wa</t>
  </si>
  <si>
    <t>2026-05-11T16:38:39+00:00</t>
  </si>
  <si>
    <t>https://ijs.usfigureskating.org/leaderboard/results/2025/36103/index.asp</t>
  </si>
  <si>
    <t>2025 Sunset Skate</t>
  </si>
  <si>
    <t>2026-05-11T16:38:40+00:00</t>
  </si>
  <si>
    <t>https://ijs.usfigureskating.org/leaderboard/results/2025/36111/index.asp</t>
  </si>
  <si>
    <t>2025 North Shore Open TOI</t>
  </si>
  <si>
    <t>2026-05-11T16:38:41+00:00</t>
  </si>
  <si>
    <t>https://ijs.usfigureskating.org/leaderboard/results/2025/36124/index.asp</t>
  </si>
  <si>
    <t>2025 Centennial Spring Classic</t>
  </si>
  <si>
    <t>2026-05-11T16:38:44+00:00</t>
  </si>
  <si>
    <t>https://ijs.usfigureskating.org/leaderboard/results/2025/36126/index.asp</t>
  </si>
  <si>
    <t>2025 Front Range Invitational</t>
  </si>
  <si>
    <t>Greeley, CO</t>
  </si>
  <si>
    <t>https://ijs.usfigureskating.org/leaderboard/results/2025/36127/index.asp</t>
  </si>
  <si>
    <t>2025 Grand Rapids Open</t>
  </si>
  <si>
    <t>Grand Rapids, MI</t>
  </si>
  <si>
    <t>2026-05-11T16:38:45+00:00</t>
  </si>
  <si>
    <t>https://ijs.usfigureskating.org/leaderboard/results/2025/36132/index.asp</t>
  </si>
  <si>
    <t>2025 ISCC Open - Compete USA</t>
  </si>
  <si>
    <t>Simsbury, CT</t>
  </si>
  <si>
    <t>2026-05-11T16:38:46+00:00</t>
  </si>
  <si>
    <t>https://ijs.usfigureskating.org/leaderboard/results/2025/36133/index.asp</t>
  </si>
  <si>
    <t>Skate Tulsa 2025</t>
  </si>
  <si>
    <t>WeStreet Ice Center</t>
  </si>
  <si>
    <t>2026-05-11T16:38:47+00:00</t>
  </si>
  <si>
    <t>https://ijs.usfigureskating.org/leaderboard/results/2025/36136/index.asp</t>
  </si>
  <si>
    <t>2025 Broadmoor Open</t>
  </si>
  <si>
    <t>https://ijs.usfigureskating.org/leaderboard/results/2025/36147/index.asp</t>
  </si>
  <si>
    <t>2025 Star of the North Figure Skating Competition</t>
  </si>
  <si>
    <t>Chaska, MN</t>
  </si>
  <si>
    <t>2026-05-11T16:38:50+00:00</t>
  </si>
  <si>
    <t>https://ijs.usfigureskating.org/leaderboard/results/2025/36149/index.asp</t>
  </si>
  <si>
    <t>2025 Santa Fe SkateFest</t>
  </si>
  <si>
    <t>Santa Fe, NM</t>
  </si>
  <si>
    <t>https://ijs.usfigureskating.org/leaderboard/results/2025/36151/index.asp</t>
  </si>
  <si>
    <t>2025 Charleston Open</t>
  </si>
  <si>
    <t>2026-05-11T16:38:51+00:00</t>
  </si>
  <si>
    <t>https://ijs.usfigureskating.org/leaderboard/results/2025/36152/index.asp</t>
  </si>
  <si>
    <t>Dogwood Open 2025</t>
  </si>
  <si>
    <t>Morrisville, NC</t>
  </si>
  <si>
    <t>https://ijs.usfigureskating.org/leaderboard/results/2025/36155/index.asp</t>
  </si>
  <si>
    <t>2025 Greater Chicago Fall Invitational Non-Qualify</t>
  </si>
  <si>
    <t>2026-05-11T16:38:52+00:00</t>
  </si>
  <si>
    <t>https://ijs.usfigureskating.org/leaderboard/results/2025/36163/index.asp</t>
  </si>
  <si>
    <t>The Hershey Open &amp; Neal Wood Memorial Open</t>
  </si>
  <si>
    <t>Hershey Park Arena, Hershey  PA</t>
  </si>
  <si>
    <t>2026-05-11T16:38:53+00:00</t>
  </si>
  <si>
    <t>https://ijs.usfigureskating.org/leaderboard/results/2025/36164/index.asp</t>
  </si>
  <si>
    <t>2025 Arizona Ice Classic</t>
  </si>
  <si>
    <t>Chandler, AZ</t>
  </si>
  <si>
    <t>2026-05-11T16:38:54+00:00</t>
  </si>
  <si>
    <t>https://ijs.usfigureskating.org/leaderboard/results/2025/36167/index.asp</t>
  </si>
  <si>
    <t>2025 Lake Placid Figure Skating Championships</t>
  </si>
  <si>
    <t>https://ijs.usfigureskating.org/leaderboard/results/2025/36171/index.asp</t>
  </si>
  <si>
    <t>2025 Sunshine State Challenge</t>
  </si>
  <si>
    <t>Wesley Chapel, FL</t>
  </si>
  <si>
    <t>2026-05-11T16:38:55+00:00</t>
  </si>
  <si>
    <t>https://ijs.usfigureskating.org/leaderboard/results/2025/36179/index.asp</t>
  </si>
  <si>
    <t>NQS - 2025 Challenge Cup</t>
  </si>
  <si>
    <t>2026-05-11T16:38:57+00:00</t>
  </si>
  <si>
    <t>https://ijs.usfigureskating.org/leaderboard/results/2025/36180/index.asp</t>
  </si>
  <si>
    <t>NQS - 2025 Skate Detroit</t>
  </si>
  <si>
    <t>Bloomfield Hills, MI</t>
  </si>
  <si>
    <t>https://ijs.usfigureskating.org/leaderboard/results/2025/36181/index.asp</t>
  </si>
  <si>
    <t>NQS - The 99th Annual Middle Atlantic Championship</t>
  </si>
  <si>
    <t>2026-05-11T16:38:58+00:00</t>
  </si>
  <si>
    <t>https://ijs.usfigureskating.org/leaderboard/results/2025/36182/index.asp</t>
  </si>
  <si>
    <t>NQS - 2025 Colorado Springs Invitational</t>
  </si>
  <si>
    <t>https://ijs.usfigureskating.org/leaderboard/results/2025/36184/index.asp</t>
  </si>
  <si>
    <t>2025 Battle of the Blades</t>
  </si>
  <si>
    <t>Fort Wayne, IN</t>
  </si>
  <si>
    <t>https://ijs.usfigureskating.org/leaderboard/results/2025/36185/index.asp</t>
  </si>
  <si>
    <t>2025 All Year Open</t>
  </si>
  <si>
    <t>2026-05-11T16:38:59+00:00</t>
  </si>
  <si>
    <t>https://ijs.usfigureskating.org/leaderboard/results/2025/36186/index.asp</t>
  </si>
  <si>
    <t>2025 Golden West Non-Qual Championships</t>
  </si>
  <si>
    <t>https://ijs.usfigureskating.org/leaderboard/results/2025/36192/index.asp</t>
  </si>
  <si>
    <t>2025 Silver State Open Championships Nonqual</t>
  </si>
  <si>
    <t>2026-05-11T16:39:00+00:00</t>
  </si>
  <si>
    <t>https://ijs.usfigureskating.org/leaderboard/results/2025/36199/index.asp</t>
  </si>
  <si>
    <t>2025 Orange Classic</t>
  </si>
  <si>
    <t>Yorba Linda</t>
  </si>
  <si>
    <t>2026-05-11T16:39:02+00:00</t>
  </si>
  <si>
    <t>https://ijs.usfigureskating.org/leaderboard/results/2025/36202/index.asp</t>
  </si>
  <si>
    <t>2025 LAFSC Showcase for Skaters</t>
  </si>
  <si>
    <t>2026-05-11T16:39:03+00:00</t>
  </si>
  <si>
    <t>https://ijs.usfigureskating.org/leaderboard/results/2025/36203/index.asp</t>
  </si>
  <si>
    <t>2025 Skate St. Paul</t>
  </si>
  <si>
    <t>Richfield, MN</t>
  </si>
  <si>
    <t>https://ijs.usfigureskating.org/leaderboard/results/2025/36206/index.asp</t>
  </si>
  <si>
    <t>2025 Potomac Memorial Open Nonqualifying Competiti</t>
  </si>
  <si>
    <t>2026-05-11T16:39:04+00:00</t>
  </si>
  <si>
    <t>https://ijs.usfigureskating.org/leaderboard/results/2025/36208/index.asp</t>
  </si>
  <si>
    <t>Vail Invitational Figure Skating Championships</t>
  </si>
  <si>
    <t>Steamboat Springs, CO</t>
  </si>
  <si>
    <t>https://ijs.usfigureskating.org/leaderboard/results/2025/36216/index.asp</t>
  </si>
  <si>
    <t>2025 Texas Trophy</t>
  </si>
  <si>
    <t>2026-05-11T16:39:06+00:00</t>
  </si>
  <si>
    <t>https://ijs.usfigureskating.org/leaderboard/results/2025/36217/index.asp</t>
  </si>
  <si>
    <t>2025 National Theatre On Ice</t>
  </si>
  <si>
    <t>https://ijs.usfigureskating.org/leaderboard/results/2025/36220/index.asp</t>
  </si>
  <si>
    <t>2025 Garden State Games</t>
  </si>
  <si>
    <t>Wayne, New Jersey</t>
  </si>
  <si>
    <t>2026-05-11T16:39:07+00:00</t>
  </si>
  <si>
    <t>https://ijs.usfigureskating.org/leaderboard/results/2025/36221/index.asp</t>
  </si>
  <si>
    <t>2025 Philadelphia Summer Championships</t>
  </si>
  <si>
    <t>https://ijs.usfigureskating.org/leaderboard/results/2025/36222/index.asp</t>
  </si>
  <si>
    <t>49th Annual Kathy Slack Troy Summer Competition</t>
  </si>
  <si>
    <t>Troy, OH</t>
  </si>
  <si>
    <t>https://ijs.usfigureskating.org/leaderboard/results/2025/36224/index.asp</t>
  </si>
  <si>
    <t>2025 Glacier Falls Summer Classic</t>
  </si>
  <si>
    <t>2026-05-11T16:39:08+00:00</t>
  </si>
  <si>
    <t>https://ijs.usfigureskating.org/leaderboard/results/2025/36226/index.asp</t>
  </si>
  <si>
    <t>2025 DuPage Open - Non Qual</t>
  </si>
  <si>
    <t>https://ijs.usfigureskating.org/leaderboard/results/2025/36227/index.asp</t>
  </si>
  <si>
    <t>2025 Ice in the Pines</t>
  </si>
  <si>
    <t>Flagstaff, AZ</t>
  </si>
  <si>
    <t>2026-05-11T16:39:09+00:00</t>
  </si>
  <si>
    <t>https://ijs.usfigureskating.org/leaderboard/results/2025/36228/index.asp</t>
  </si>
  <si>
    <t>Skate Houston 2025</t>
  </si>
  <si>
    <t>https://ijs.usfigureskating.org/leaderboard/results/2025/36229/index.asp</t>
  </si>
  <si>
    <t>Skate Milwaukee 2025</t>
  </si>
  <si>
    <t>https://ijs.usfigureskating.org/leaderboard/results/2025/36230/index.asp</t>
  </si>
  <si>
    <t>2025 Southern Indiana Ice Classic</t>
  </si>
  <si>
    <t>Evansville, IN</t>
  </si>
  <si>
    <t>https://ijs.usfigureskating.org/leaderboard/results/2025/36235/index.asp</t>
  </si>
  <si>
    <t>2025 Skate Cleveland Non-Qual</t>
  </si>
  <si>
    <t>2026-05-11T16:39:10+00:00</t>
  </si>
  <si>
    <t>https://ijs.usfigureskating.org/leaderboard/results/2025/36236/index.asp</t>
  </si>
  <si>
    <t>2025 Southern California Interclub Championships</t>
  </si>
  <si>
    <t>2026-05-11T16:39:11+00:00</t>
  </si>
  <si>
    <t>https://ijs.usfigureskating.org/leaderboard/results/2025/36244/index.asp</t>
  </si>
  <si>
    <t>37th Annual Ice Crystal Classic</t>
  </si>
  <si>
    <t>Vancouver, WA</t>
  </si>
  <si>
    <t>2026-05-11T16:39:12+00:00</t>
  </si>
  <si>
    <t>https://ijs.usfigureskating.org/leaderboard/results/2025/36250/index.asp</t>
  </si>
  <si>
    <t>2025 Maplewood Fall Classic</t>
  </si>
  <si>
    <t>2026-05-11T16:39:14+00:00</t>
  </si>
  <si>
    <t>https://ijs.usfigureskating.org/leaderboard/results/2025/36275/index.asp</t>
  </si>
  <si>
    <t>NQS - SDS - 2025 Dallas Classic</t>
  </si>
  <si>
    <t>2026-05-11T16:39:19+00:00</t>
  </si>
  <si>
    <t>https://ijs.usfigureskating.org/leaderboard/results/2025/36278/index.asp</t>
  </si>
  <si>
    <t>2025 Junior Cup</t>
  </si>
  <si>
    <t>https://ijs.usfigureskating.org/leaderboard/results/2025/36280/index.asp</t>
  </si>
  <si>
    <t>2025 Top of The World Skating Competition</t>
  </si>
  <si>
    <t>Anchorage, Alaska</t>
  </si>
  <si>
    <t>2026-05-11T16:39:20+00:00</t>
  </si>
  <si>
    <t>https://ijs.usfigureskating.org/leaderboard/results/2025/36284/index.asp</t>
  </si>
  <si>
    <t>2025 Southwest Florida Fall Classic</t>
  </si>
  <si>
    <t>Ellenton, Florida</t>
  </si>
  <si>
    <t>2026-05-11T16:39:21+00:00</t>
  </si>
  <si>
    <t>https://ijs.usfigureskating.org/leaderboard/results/2025/36285/index.asp</t>
  </si>
  <si>
    <t>The 99th Annual Middle Atlantics Competition Non Q</t>
  </si>
  <si>
    <t>https://ijs.usfigureskating.org/leaderboard/results/2025/36286/index.asp</t>
  </si>
  <si>
    <t>2025 Sunshine State Synchro Classic</t>
  </si>
  <si>
    <t>https://ijs.usfigureskating.org/leaderboard/results/2025/36287/index.asp</t>
  </si>
  <si>
    <t>2025 Skate San Francisco</t>
  </si>
  <si>
    <t>San Francisco, CA</t>
  </si>
  <si>
    <t>https://ijs.usfigureskating.org/leaderboard/results/2025/36288/index.asp</t>
  </si>
  <si>
    <t>2025 Red White and Blue</t>
  </si>
  <si>
    <t>Vacaville, CA</t>
  </si>
  <si>
    <t>2026-05-11T16:39:22+00:00</t>
  </si>
  <si>
    <t>https://ijs.usfigureskating.org/leaderboard/results/2025/36290/index.asp</t>
  </si>
  <si>
    <t>2025 Excel National Festival</t>
  </si>
  <si>
    <t>https://ijs.usfigureskating.org/leaderboard/results/2025/36291/index.asp</t>
  </si>
  <si>
    <t>2025 EDGE OF THE SOUND</t>
  </si>
  <si>
    <t>BREMERTON, WA</t>
  </si>
  <si>
    <t>2026-05-11T16:39:23+00:00</t>
  </si>
  <si>
    <t>https://ijs.usfigureskating.org/leaderboard/results/2025/36292/index.asp</t>
  </si>
  <si>
    <t>2025 National Showcase</t>
  </si>
  <si>
    <t>Rochester, MI</t>
  </si>
  <si>
    <t>https://ijs.usfigureskating.org/leaderboard/results/2025/36295/index.asp</t>
  </si>
  <si>
    <t>2025 Carousel Classic</t>
  </si>
  <si>
    <t>2026-05-11T16:39:24+00:00</t>
  </si>
  <si>
    <t>https://ijs.usfigureskating.org/leaderboard/results/2025/36301/index.asp</t>
  </si>
  <si>
    <t>2025 Atlanta Open Non-Qual</t>
  </si>
  <si>
    <t>2026-05-11T16:39:25+00:00</t>
  </si>
  <si>
    <t>https://ijs.usfigureskating.org/leaderboard/results/2025/36302/index.asp</t>
  </si>
  <si>
    <t>Skate Detroit 2025</t>
  </si>
  <si>
    <t>https://ijs.usfigureskating.org/leaderboard/results/2025/36303/index.asp</t>
  </si>
  <si>
    <t>2025 Scott Hamilton Invitational</t>
  </si>
  <si>
    <t>2026-05-11T16:39:26+00:00</t>
  </si>
  <si>
    <t>https://ijs.usfigureskating.org/leaderboard/results/2025/36305/index.asp</t>
  </si>
  <si>
    <t>2025 Apple Ice Classic</t>
  </si>
  <si>
    <t>Wenatchee, WA</t>
  </si>
  <si>
    <t>https://ijs.usfigureskating.org/leaderboard/results/2025/36312/index.asp</t>
  </si>
  <si>
    <t>2025 Cranberry Open - Nonqualifying</t>
  </si>
  <si>
    <t>2026-05-11T16:39:27+00:00</t>
  </si>
  <si>
    <t>https://ijs.usfigureskating.org/leaderboard/results/2025/36314/index.asp</t>
  </si>
  <si>
    <t>26th Annual Chicago Open</t>
  </si>
  <si>
    <t>Glenview, IL</t>
  </si>
  <si>
    <t>2026-05-11T16:39:28+00:00</t>
  </si>
  <si>
    <t>https://ijs.usfigureskating.org/leaderboard/results/2025/36315/index.asp</t>
  </si>
  <si>
    <t>Challenge Cup 2025</t>
  </si>
  <si>
    <t>https://ijs.usfigureskating.org/leaderboard/results/2025/36317/index.asp</t>
  </si>
  <si>
    <t>2025 Minnesota L'etoile du Nord Challenge</t>
  </si>
  <si>
    <t>Coon Rapids, MN</t>
  </si>
  <si>
    <t>2026-05-11T16:39:29+00:00</t>
  </si>
  <si>
    <t>https://ijs.usfigureskating.org/leaderboard/results/2025/36324/index.asp</t>
  </si>
  <si>
    <t>2025 Pony Express Championships</t>
  </si>
  <si>
    <t>St. Joseph, MO</t>
  </si>
  <si>
    <t>2026-05-11T16:39:30+00:00</t>
  </si>
  <si>
    <t>https://ijs.usfigureskating.org/leaderboard/results/2025/36330/index.asp</t>
  </si>
  <si>
    <t>2025 Florida Figure Skating Championships</t>
  </si>
  <si>
    <t>2026-05-11T16:39:32+00:00</t>
  </si>
  <si>
    <t>https://ijs.usfigureskating.org/leaderboard/results/2025/36332/index.asp</t>
  </si>
  <si>
    <t>2025 Autumn Skills Competition</t>
  </si>
  <si>
    <t>Broollyn, Ohio</t>
  </si>
  <si>
    <t>https://ijs.usfigureskating.org/leaderboard/results/2025/36336/index.asp</t>
  </si>
  <si>
    <t>2025 Granite City Classic</t>
  </si>
  <si>
    <t>Municipal Athletic Complex (MAC)</t>
  </si>
  <si>
    <t>2026-05-11T16:39:33+00:00</t>
  </si>
  <si>
    <t>https://ijs.usfigureskating.org/leaderboard/results/2025/36339/index.asp</t>
  </si>
  <si>
    <t>2025 Falling Leaves CRC Championship</t>
  </si>
  <si>
    <t>Glen Allen, VA</t>
  </si>
  <si>
    <t>2026-05-11T16:39:34+00:00</t>
  </si>
  <si>
    <t>https://ijs.usfigureskating.org/leaderboard/results/2025/36343/index.asp</t>
  </si>
  <si>
    <t>2025 Skate by the Sea</t>
  </si>
  <si>
    <t>2026-05-11T16:39:35+00:00</t>
  </si>
  <si>
    <t>https://ijs.usfigureskating.org/leaderboard/results/2025/36347/index.asp</t>
  </si>
  <si>
    <t>4th Annual Chuck Cope Synchronized Skating Competi</t>
  </si>
  <si>
    <t>Dearborn, MI</t>
  </si>
  <si>
    <t>https://ijs.usfigureskating.org/leaderboard/results/2025/36351/index.asp</t>
  </si>
  <si>
    <t>2025 Oklahoma Open</t>
  </si>
  <si>
    <t>Oklahoma City, OK</t>
  </si>
  <si>
    <t>2026-05-11T16:39:36+00:00</t>
  </si>
  <si>
    <t>https://ijs.usfigureskating.org/leaderboard/results/2025/36352/index.asp</t>
  </si>
  <si>
    <t>2025 Mini Championship Challenge</t>
  </si>
  <si>
    <t>2026-05-11T16:39:37+00:00</t>
  </si>
  <si>
    <t>https://ijs.usfigureskating.org/leaderboard/results/2025/36353/index.asp</t>
  </si>
  <si>
    <t>2025 Synchro Fall Classic</t>
  </si>
  <si>
    <t>https://ijs.usfigureskating.org/leaderboard/results/2025/36356/index.asp</t>
  </si>
  <si>
    <t>Ann Arbor Adult Open 2025</t>
  </si>
  <si>
    <t>https://ijs.usfigureskating.org/leaderboard/results/2025/36360/index.asp</t>
  </si>
  <si>
    <t>14th Annual Interclub Invitational Series Final</t>
  </si>
  <si>
    <t>2026-05-11T16:39:38+00:00</t>
  </si>
  <si>
    <t>https://ijs.usfigureskating.org/leaderboard/results/2025/36363/index.asp</t>
  </si>
  <si>
    <t>2025 16th Annual Capital City Championships</t>
  </si>
  <si>
    <t>Bismarck, ND</t>
  </si>
  <si>
    <t>2026-05-11T16:39:39+00:00</t>
  </si>
  <si>
    <t>https://ijs.usfigureskating.org/leaderboard/results/2025/36365/index.asp</t>
  </si>
  <si>
    <t>2025 Cape Cod Harvest Classic</t>
  </si>
  <si>
    <t>2026-05-11T16:39:40+00:00</t>
  </si>
  <si>
    <t>https://ijs.usfigureskating.org/leaderboard/results/2025/36371/index.asp</t>
  </si>
  <si>
    <t>2025 Arizona State Championships</t>
  </si>
  <si>
    <t>2026-05-11T16:39:41+00:00</t>
  </si>
  <si>
    <t>https://ijs.usfigureskating.org/leaderboard/results/2025/36373/index.asp</t>
  </si>
  <si>
    <t>2025 LA Autumn Classic</t>
  </si>
  <si>
    <t>2026-05-11T16:39:42+00:00</t>
  </si>
  <si>
    <t>https://ijs.usfigureskating.org/leaderboard/results/2025/36375/index.asp</t>
  </si>
  <si>
    <t>2025 WisconSync! Synchronized Competition</t>
  </si>
  <si>
    <t>Sun Prairie, WI</t>
  </si>
  <si>
    <t>2026-05-11T16:39:43+00:00</t>
  </si>
  <si>
    <t>https://ijs.usfigureskating.org/leaderboard/results/2025/36377/index.asp</t>
  </si>
  <si>
    <t>2025 Madison Open</t>
  </si>
  <si>
    <t>https://ijs.usfigureskating.org/leaderboard/results/2025/36379/index.asp</t>
  </si>
  <si>
    <t>2025 Boston Synchronized Skating Classic</t>
  </si>
  <si>
    <t>2026-05-11T16:39:44+00:00</t>
  </si>
  <si>
    <t>https://ijs.usfigureskating.org/leaderboard/results/2025/36381/index.asp</t>
  </si>
  <si>
    <t>2025 Austin Fall Festival</t>
  </si>
  <si>
    <t>https://ijs.usfigureskating.org/leaderboard/results/2025/36385/index.asp</t>
  </si>
  <si>
    <t>60th Annual Arrowhead Open Championships</t>
  </si>
  <si>
    <t>Ontario, CA</t>
  </si>
  <si>
    <t>2026-05-11T16:39:45+00:00</t>
  </si>
  <si>
    <t>https://ijs.usfigureskating.org/leaderboard/results/2025/36389/index.asp</t>
  </si>
  <si>
    <t>Skating Spooktacular 2025</t>
  </si>
  <si>
    <t>North Canton, OH</t>
  </si>
  <si>
    <t>2026-05-11T16:39:46+00:00</t>
  </si>
  <si>
    <t>https://ijs.usfigureskating.org/leaderboard/results/2025/36390/index.asp</t>
  </si>
  <si>
    <t>2025 Skate by the Lake</t>
  </si>
  <si>
    <t>McCall, ID</t>
  </si>
  <si>
    <t>https://ijs.usfigureskating.org/leaderboard/results/2025/36392/index.asp</t>
  </si>
  <si>
    <t>2025 Shores Autumn Classic</t>
  </si>
  <si>
    <t>St Clr Shores, MI</t>
  </si>
  <si>
    <t>2026-05-11T16:39:47+00:00</t>
  </si>
  <si>
    <t>https://ijs.usfigureskating.org/leaderboard/results/2025/36396/index.asp</t>
  </si>
  <si>
    <t>2025 LA Autumn Classic (SYNCHRO ONLY)</t>
  </si>
  <si>
    <t>2026-05-11T16:39:48+00:00</t>
  </si>
  <si>
    <t>https://ijs.usfigureskating.org/leaderboard/results/2025/36397/index.asp</t>
  </si>
  <si>
    <t>2025 LeeAnn Miele Synchronized Skating Open</t>
  </si>
  <si>
    <t>https://ijs.usfigureskating.org/leaderboard/results/2025/36398/index.asp</t>
  </si>
  <si>
    <t>2025 Diamond Classic Synchronized Skating Competit</t>
  </si>
  <si>
    <t>https://ijs.usfigureskating.org/leaderboard/results/2025/36402/index.asp</t>
  </si>
  <si>
    <t>2025 Essex Synchronized Skating Classic</t>
  </si>
  <si>
    <t>West Orange, NJ</t>
  </si>
  <si>
    <t>2026-05-11T16:39:49+00:00</t>
  </si>
  <si>
    <t>https://ijs.usfigureskating.org/leaderboard/results/2025/36406/index.asp</t>
  </si>
  <si>
    <t>2025 Mile High Synchro Classic</t>
  </si>
  <si>
    <t>2026-05-11T16:39:50+00:00</t>
  </si>
  <si>
    <t>https://ijs.usfigureskating.org/leaderboard/results/2025/36413/index.asp</t>
  </si>
  <si>
    <t>2025 Connecticut High School Classic</t>
  </si>
  <si>
    <t>West Hartford, CT</t>
  </si>
  <si>
    <t>2026-05-11T16:39:52+00:00</t>
  </si>
  <si>
    <t>https://ijs.usfigureskating.org/leaderboard/results/2025/36430/index.asp</t>
  </si>
  <si>
    <t>2025 Stars And Stripes Synchro Invitation</t>
  </si>
  <si>
    <t>2026-05-11T16:39:55+00:00</t>
  </si>
  <si>
    <t>https://ijs.usfigureskating.org/leaderboard/results/2025/36432/index.asp</t>
  </si>
  <si>
    <t>2025 Spooktacular</t>
  </si>
  <si>
    <t>Lakewood, CA</t>
  </si>
  <si>
    <t>2026-05-11T16:39:56+00:00</t>
  </si>
  <si>
    <t>https://ijs.usfigureskating.org/leaderboard/results/2025/36436/index.asp</t>
  </si>
  <si>
    <t>Desert Ice Open Competition 2025</t>
  </si>
  <si>
    <t>Las Vegas Nevada</t>
  </si>
  <si>
    <t>2026-05-11T16:39:57+00:00</t>
  </si>
  <si>
    <t>https://ijs.usfigureskating.org/leaderboard/results/2025/36440/index.asp</t>
  </si>
  <si>
    <t>2025 Autumn Antics</t>
  </si>
  <si>
    <t>2026-05-11T16:39:58+00:00</t>
  </si>
  <si>
    <t>https://ijs.usfigureskating.org/leaderboard/results/2025/36456/index.asp</t>
  </si>
  <si>
    <t>2025 Holiday Classic Figure Skating Competition</t>
  </si>
  <si>
    <t>ICON Sports Center, Grand Forks, ND</t>
  </si>
  <si>
    <t>2026-05-11T16:40:01+00:00</t>
  </si>
  <si>
    <t>https://ijs.usfigureskating.org/leaderboard/results/2025/36459/index.asp</t>
  </si>
  <si>
    <t>29th Porter Classic</t>
  </si>
  <si>
    <t>2026-05-11T16:40:02+00:00</t>
  </si>
  <si>
    <t>https://ijs.usfigureskating.org/leaderboard/results/2025/36460/index.asp</t>
  </si>
  <si>
    <t>2025 Terry Conners Open</t>
  </si>
  <si>
    <t>Stamford, CT</t>
  </si>
  <si>
    <t>https://ijs.usfigureskating.org/leaderboard/results/2025/36463/index.asp</t>
  </si>
  <si>
    <t>2025 Capital Ice Synchro Classic</t>
  </si>
  <si>
    <t>2026-05-11T16:40:03+00:00</t>
  </si>
  <si>
    <t>https://ijs.usfigureskating.org/leaderboard/results/2025/36464/index.asp</t>
  </si>
  <si>
    <t>2025 Autumn Skate Fest</t>
  </si>
  <si>
    <t>Burnsville, MN</t>
  </si>
  <si>
    <t>https://ijs.usfigureskating.org/leaderboard/results/2025/36471/index.asp</t>
  </si>
  <si>
    <t>2025 Kick-Off Classic Synchronized Skating Competi</t>
  </si>
  <si>
    <t>2026-05-11T16:40:05+00:00</t>
  </si>
  <si>
    <t>https://ijs.usfigureskating.org/leaderboard/results/2025/36492/index.asp</t>
  </si>
  <si>
    <t>2025 Fort Collins Fright Fest</t>
  </si>
  <si>
    <t>EPIC, Fort Collins, CO</t>
  </si>
  <si>
    <t>2026-05-11T16:40:09+00:00</t>
  </si>
  <si>
    <t>https://ijs.usfigureskating.org/leaderboard/results/2025/36499/index.asp</t>
  </si>
  <si>
    <t>2025 Holiday Season Competition</t>
  </si>
  <si>
    <t>2026-05-11T16:40:11+00:00</t>
  </si>
  <si>
    <t>https://ijs.usfigureskating.org/leaderboard/results/2025/36504/index.asp</t>
  </si>
  <si>
    <t>Autumn Skate 2025</t>
  </si>
  <si>
    <t>2026-05-11T16:40:12+00:00</t>
  </si>
  <si>
    <t>https://ijs.usfigureskating.org/leaderboard/results/2025/36539/index.asp</t>
  </si>
  <si>
    <t>2025 South Atlantic Synchro Open</t>
  </si>
  <si>
    <t>2026-05-11T16:40:19+00:00</t>
  </si>
  <si>
    <t>https://ijs.usfigureskating.org/leaderboard/results/2025/36588/index.asp</t>
  </si>
  <si>
    <t>2025 North Atlantic High School Competition</t>
  </si>
  <si>
    <t>2026-05-11T16:40:30+00:00</t>
  </si>
  <si>
    <t>https://ijs.usfigureskating.org/leaderboard/results/2025/36617/index.asp</t>
  </si>
  <si>
    <t>2025 Jingle Blades Competition</t>
  </si>
  <si>
    <t>Darien, IL</t>
  </si>
  <si>
    <t>2026-05-11T16:40:36+00:00</t>
  </si>
  <si>
    <t>https://ijs.usfigureskating.org/leaderboard/results/2025/36623/index.asp</t>
  </si>
  <si>
    <t>2025 Aspen Invitational</t>
  </si>
  <si>
    <t>Aspen, CO</t>
  </si>
  <si>
    <t>2026-05-11T16:40:38+00:00</t>
  </si>
  <si>
    <t>https://ijs.usfigureskating.org/leaderboard/results/2025/36628/index.asp</t>
  </si>
  <si>
    <t>2025 New England Synchronized Skating Open</t>
  </si>
  <si>
    <t>2026-05-11T16:40:39+00:00</t>
  </si>
  <si>
    <t>https://ijs.usfigureskating.org/leaderboard/results/2025/36658/index.asp</t>
  </si>
  <si>
    <t>2025 Maplewood Synchronized Skating Classic</t>
  </si>
  <si>
    <t>Minneapolis, MN</t>
  </si>
  <si>
    <t>2026-05-11T16:40:45+00:00</t>
  </si>
  <si>
    <t>https://ijs.usfigureskating.org/leaderboard/results/2025/36746/index.asp</t>
  </si>
  <si>
    <t>34th Annual Skaneateles Figure Skating Invitationa</t>
  </si>
  <si>
    <t>Skaneateles Community Center</t>
  </si>
  <si>
    <t>2026-05-11T16:41:03+00:00</t>
  </si>
  <si>
    <t>Existing</t>
  </si>
  <si>
    <t>Loaded</t>
  </si>
  <si>
    <t>Total</t>
  </si>
  <si>
    <t>officials_analysis_competition_type_id</t>
  </si>
  <si>
    <t>season_year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</si>
</sst>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Menlo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6715F-D717-314C-9BEC-0F63B1527028}">
  <dimension ref="A1:L238"/>
  <sheetViews>
    <sheetView tabSelected="1" topLeftCell="A224" workbookViewId="0">
      <selection activeCell="L239" sqref="L239"/>
    </sheetView>
  </sheetViews>
  <sheetFormatPr baseColWidth="10" defaultRowHeight="16" x14ac:dyDescent="0.2"/>
  <cols>
    <col min="5" max="5" width="46.1640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1001</v>
      </c>
      <c r="L1" t="s">
        <v>1002</v>
      </c>
    </row>
    <row r="2" spans="1:12" x14ac:dyDescent="0.2">
      <c r="A2">
        <v>2025</v>
      </c>
      <c r="B2">
        <v>36208</v>
      </c>
      <c r="C2" t="s">
        <v>729</v>
      </c>
      <c r="D2">
        <v>200</v>
      </c>
      <c r="E2" t="s">
        <v>730</v>
      </c>
      <c r="F2" s="1">
        <v>9331</v>
      </c>
      <c r="G2" s="1">
        <v>9332</v>
      </c>
      <c r="H2" t="s">
        <v>731</v>
      </c>
      <c r="I2" t="s">
        <v>728</v>
      </c>
      <c r="K2">
        <v>11</v>
      </c>
      <c r="L2">
        <v>2425</v>
      </c>
    </row>
    <row r="3" spans="1:12" x14ac:dyDescent="0.2">
      <c r="A3">
        <v>2025</v>
      </c>
      <c r="B3">
        <v>36377</v>
      </c>
      <c r="C3" t="s">
        <v>890</v>
      </c>
      <c r="D3">
        <v>200</v>
      </c>
      <c r="E3" t="s">
        <v>891</v>
      </c>
      <c r="F3" s="1">
        <v>9401</v>
      </c>
      <c r="G3" s="1">
        <v>9402</v>
      </c>
      <c r="H3" t="s">
        <v>16</v>
      </c>
      <c r="I3" t="s">
        <v>889</v>
      </c>
      <c r="K3">
        <v>11</v>
      </c>
      <c r="L3">
        <v>2425</v>
      </c>
    </row>
    <row r="4" spans="1:12" x14ac:dyDescent="0.2">
      <c r="A4">
        <v>2025</v>
      </c>
      <c r="B4">
        <v>36371</v>
      </c>
      <c r="C4" t="s">
        <v>880</v>
      </c>
      <c r="D4">
        <v>200</v>
      </c>
      <c r="E4" t="s">
        <v>881</v>
      </c>
      <c r="F4" s="1">
        <v>9416</v>
      </c>
      <c r="G4" s="1">
        <v>9417</v>
      </c>
      <c r="H4" t="s">
        <v>242</v>
      </c>
      <c r="I4" t="s">
        <v>882</v>
      </c>
      <c r="K4">
        <v>11</v>
      </c>
      <c r="L4">
        <v>2425</v>
      </c>
    </row>
    <row r="5" spans="1:12" x14ac:dyDescent="0.2">
      <c r="A5">
        <v>2025</v>
      </c>
      <c r="B5">
        <v>35781</v>
      </c>
      <c r="C5" t="s">
        <v>300</v>
      </c>
      <c r="D5">
        <v>200</v>
      </c>
      <c r="E5" t="s">
        <v>301</v>
      </c>
      <c r="F5" s="1">
        <v>45661</v>
      </c>
      <c r="G5" s="1">
        <v>45662</v>
      </c>
      <c r="H5" t="s">
        <v>302</v>
      </c>
      <c r="I5" t="s">
        <v>303</v>
      </c>
      <c r="K5">
        <v>11</v>
      </c>
      <c r="L5">
        <v>2425</v>
      </c>
    </row>
    <row r="6" spans="1:12" x14ac:dyDescent="0.2">
      <c r="A6">
        <v>2025</v>
      </c>
      <c r="B6">
        <v>35799</v>
      </c>
      <c r="C6" t="s">
        <v>331</v>
      </c>
      <c r="D6">
        <v>200</v>
      </c>
      <c r="E6" t="s">
        <v>332</v>
      </c>
      <c r="F6" s="1">
        <v>45666</v>
      </c>
      <c r="G6" s="1">
        <v>45669</v>
      </c>
      <c r="H6" t="s">
        <v>333</v>
      </c>
      <c r="I6" t="s">
        <v>330</v>
      </c>
      <c r="K6">
        <v>11</v>
      </c>
      <c r="L6">
        <v>2425</v>
      </c>
    </row>
    <row r="7" spans="1:12" x14ac:dyDescent="0.2">
      <c r="A7">
        <v>2025</v>
      </c>
      <c r="B7">
        <v>35715</v>
      </c>
      <c r="C7" t="s">
        <v>161</v>
      </c>
      <c r="D7">
        <v>200</v>
      </c>
      <c r="E7" t="s">
        <v>162</v>
      </c>
      <c r="F7" s="1">
        <v>45668</v>
      </c>
      <c r="G7" s="1">
        <v>45668</v>
      </c>
      <c r="H7" t="s">
        <v>163</v>
      </c>
      <c r="I7" t="s">
        <v>164</v>
      </c>
      <c r="K7">
        <v>11</v>
      </c>
      <c r="L7">
        <v>2425</v>
      </c>
    </row>
    <row r="8" spans="1:12" x14ac:dyDescent="0.2">
      <c r="A8">
        <v>2025</v>
      </c>
      <c r="B8">
        <v>35768</v>
      </c>
      <c r="C8" t="s">
        <v>283</v>
      </c>
      <c r="D8">
        <v>200</v>
      </c>
      <c r="E8" t="s">
        <v>284</v>
      </c>
      <c r="F8" s="1">
        <v>45673</v>
      </c>
      <c r="G8" s="1">
        <v>45676</v>
      </c>
      <c r="H8" t="s">
        <v>285</v>
      </c>
      <c r="I8" t="s">
        <v>286</v>
      </c>
      <c r="K8">
        <v>11</v>
      </c>
      <c r="L8">
        <v>2425</v>
      </c>
    </row>
    <row r="9" spans="1:12" x14ac:dyDescent="0.2">
      <c r="A9">
        <v>2025</v>
      </c>
      <c r="B9">
        <v>35827</v>
      </c>
      <c r="C9" t="s">
        <v>378</v>
      </c>
      <c r="D9">
        <v>200</v>
      </c>
      <c r="E9" t="s">
        <v>379</v>
      </c>
      <c r="F9" s="1">
        <v>45680</v>
      </c>
      <c r="G9" s="1">
        <v>45683</v>
      </c>
      <c r="H9" t="s">
        <v>380</v>
      </c>
      <c r="I9" t="s">
        <v>381</v>
      </c>
      <c r="K9">
        <v>11</v>
      </c>
      <c r="L9">
        <v>2425</v>
      </c>
    </row>
    <row r="10" spans="1:12" x14ac:dyDescent="0.2">
      <c r="A10">
        <v>2025</v>
      </c>
      <c r="B10">
        <v>35929</v>
      </c>
      <c r="C10" t="s">
        <v>536</v>
      </c>
      <c r="D10">
        <v>200</v>
      </c>
      <c r="E10" t="s">
        <v>537</v>
      </c>
      <c r="F10" s="1">
        <v>45682</v>
      </c>
      <c r="G10" s="1">
        <v>45682</v>
      </c>
      <c r="H10" t="s">
        <v>538</v>
      </c>
      <c r="I10" t="s">
        <v>539</v>
      </c>
      <c r="K10">
        <v>11</v>
      </c>
      <c r="L10">
        <v>2425</v>
      </c>
    </row>
    <row r="11" spans="1:12" x14ac:dyDescent="0.2">
      <c r="A11">
        <v>2025</v>
      </c>
      <c r="B11">
        <v>35907</v>
      </c>
      <c r="C11" t="s">
        <v>513</v>
      </c>
      <c r="D11">
        <v>200</v>
      </c>
      <c r="E11" t="s">
        <v>514</v>
      </c>
      <c r="F11" s="1">
        <v>45687</v>
      </c>
      <c r="G11" s="1">
        <v>45690</v>
      </c>
      <c r="H11" t="s">
        <v>515</v>
      </c>
      <c r="I11" t="s">
        <v>512</v>
      </c>
      <c r="K11">
        <v>11</v>
      </c>
      <c r="L11">
        <v>2425</v>
      </c>
    </row>
    <row r="12" spans="1:12" x14ac:dyDescent="0.2">
      <c r="A12">
        <v>2025</v>
      </c>
      <c r="B12">
        <v>35751</v>
      </c>
      <c r="C12" t="s">
        <v>251</v>
      </c>
      <c r="D12">
        <v>200</v>
      </c>
      <c r="E12" t="s">
        <v>252</v>
      </c>
      <c r="F12" s="1">
        <v>45688</v>
      </c>
      <c r="G12" s="1">
        <v>45689</v>
      </c>
      <c r="H12" t="s">
        <v>253</v>
      </c>
      <c r="I12" t="s">
        <v>250</v>
      </c>
      <c r="K12">
        <v>11</v>
      </c>
      <c r="L12">
        <v>2425</v>
      </c>
    </row>
    <row r="13" spans="1:12" x14ac:dyDescent="0.2">
      <c r="A13">
        <v>2025</v>
      </c>
      <c r="B13">
        <v>35558</v>
      </c>
      <c r="C13" t="s">
        <v>75</v>
      </c>
      <c r="D13">
        <v>200</v>
      </c>
      <c r="E13" t="s">
        <v>76</v>
      </c>
      <c r="F13" s="1">
        <v>45695</v>
      </c>
      <c r="G13" s="1">
        <v>45697</v>
      </c>
      <c r="H13" t="s">
        <v>77</v>
      </c>
      <c r="I13" t="s">
        <v>78</v>
      </c>
      <c r="K13">
        <v>11</v>
      </c>
      <c r="L13">
        <v>2425</v>
      </c>
    </row>
    <row r="14" spans="1:12" x14ac:dyDescent="0.2">
      <c r="A14">
        <v>2025</v>
      </c>
      <c r="B14">
        <v>35856</v>
      </c>
      <c r="C14" t="s">
        <v>417</v>
      </c>
      <c r="D14">
        <v>200</v>
      </c>
      <c r="E14" t="s">
        <v>418</v>
      </c>
      <c r="F14" s="1">
        <v>45695</v>
      </c>
      <c r="G14" s="1">
        <v>45697</v>
      </c>
      <c r="H14" t="s">
        <v>419</v>
      </c>
      <c r="I14" t="s">
        <v>416</v>
      </c>
      <c r="K14">
        <v>11</v>
      </c>
      <c r="L14">
        <v>2425</v>
      </c>
    </row>
    <row r="15" spans="1:12" x14ac:dyDescent="0.2">
      <c r="A15">
        <v>2025</v>
      </c>
      <c r="B15">
        <v>35922</v>
      </c>
      <c r="C15" t="s">
        <v>524</v>
      </c>
      <c r="D15">
        <v>200</v>
      </c>
      <c r="E15" t="s">
        <v>525</v>
      </c>
      <c r="F15" s="1">
        <v>45696</v>
      </c>
      <c r="G15" s="1">
        <v>45697</v>
      </c>
      <c r="H15" t="s">
        <v>526</v>
      </c>
      <c r="I15" t="s">
        <v>527</v>
      </c>
      <c r="K15">
        <v>11</v>
      </c>
      <c r="L15">
        <v>2425</v>
      </c>
    </row>
    <row r="16" spans="1:12" x14ac:dyDescent="0.2">
      <c r="A16">
        <v>2025</v>
      </c>
      <c r="B16">
        <v>35990</v>
      </c>
      <c r="C16" t="s">
        <v>582</v>
      </c>
      <c r="D16">
        <v>200</v>
      </c>
      <c r="E16" t="s">
        <v>583</v>
      </c>
      <c r="F16" s="1">
        <v>45697</v>
      </c>
      <c r="G16" s="1">
        <v>45697</v>
      </c>
      <c r="H16" t="s">
        <v>584</v>
      </c>
      <c r="I16" t="s">
        <v>585</v>
      </c>
      <c r="K16">
        <v>11</v>
      </c>
      <c r="L16">
        <v>2425</v>
      </c>
    </row>
    <row r="17" spans="1:12" x14ac:dyDescent="0.2">
      <c r="A17">
        <v>2025</v>
      </c>
      <c r="B17">
        <v>35676</v>
      </c>
      <c r="C17" t="s">
        <v>149</v>
      </c>
      <c r="D17">
        <v>200</v>
      </c>
      <c r="E17" t="s">
        <v>150</v>
      </c>
      <c r="F17" s="1">
        <v>45701</v>
      </c>
      <c r="G17" s="1">
        <v>45703</v>
      </c>
      <c r="H17" t="s">
        <v>151</v>
      </c>
      <c r="I17" t="s">
        <v>152</v>
      </c>
      <c r="K17">
        <v>11</v>
      </c>
      <c r="L17">
        <v>2425</v>
      </c>
    </row>
    <row r="18" spans="1:12" x14ac:dyDescent="0.2">
      <c r="A18">
        <v>2025</v>
      </c>
      <c r="B18">
        <v>35623</v>
      </c>
      <c r="C18" t="s">
        <v>103</v>
      </c>
      <c r="D18">
        <v>200</v>
      </c>
      <c r="E18" t="s">
        <v>104</v>
      </c>
      <c r="F18" s="1">
        <v>45702</v>
      </c>
      <c r="G18" s="1">
        <v>45703</v>
      </c>
      <c r="H18" t="s">
        <v>105</v>
      </c>
      <c r="I18" t="s">
        <v>106</v>
      </c>
      <c r="K18">
        <v>11</v>
      </c>
      <c r="L18">
        <v>2425</v>
      </c>
    </row>
    <row r="19" spans="1:12" x14ac:dyDescent="0.2">
      <c r="A19">
        <v>2025</v>
      </c>
      <c r="B19">
        <v>35791</v>
      </c>
      <c r="C19" t="s">
        <v>316</v>
      </c>
      <c r="D19">
        <v>200</v>
      </c>
      <c r="E19" t="s">
        <v>317</v>
      </c>
      <c r="F19" s="1">
        <v>45702</v>
      </c>
      <c r="G19" s="1">
        <v>45704</v>
      </c>
      <c r="H19" t="s">
        <v>318</v>
      </c>
      <c r="I19" t="s">
        <v>319</v>
      </c>
      <c r="K19">
        <v>11</v>
      </c>
      <c r="L19">
        <v>2425</v>
      </c>
    </row>
    <row r="20" spans="1:12" x14ac:dyDescent="0.2">
      <c r="A20">
        <v>2025</v>
      </c>
      <c r="B20">
        <v>35866</v>
      </c>
      <c r="C20" t="s">
        <v>431</v>
      </c>
      <c r="D20">
        <v>200</v>
      </c>
      <c r="E20" t="s">
        <v>432</v>
      </c>
      <c r="F20" s="1">
        <v>45702</v>
      </c>
      <c r="G20" s="1">
        <v>45704</v>
      </c>
      <c r="H20" t="s">
        <v>433</v>
      </c>
      <c r="I20" t="s">
        <v>434</v>
      </c>
      <c r="K20">
        <v>11</v>
      </c>
      <c r="L20">
        <v>2425</v>
      </c>
    </row>
    <row r="21" spans="1:12" x14ac:dyDescent="0.2">
      <c r="A21">
        <v>2025</v>
      </c>
      <c r="B21">
        <v>35904</v>
      </c>
      <c r="C21" t="s">
        <v>503</v>
      </c>
      <c r="D21">
        <v>200</v>
      </c>
      <c r="E21" t="s">
        <v>504</v>
      </c>
      <c r="F21" s="1">
        <v>45702</v>
      </c>
      <c r="G21" s="1">
        <v>45704</v>
      </c>
      <c r="H21" t="s">
        <v>505</v>
      </c>
      <c r="I21" t="s">
        <v>506</v>
      </c>
      <c r="K21">
        <v>11</v>
      </c>
      <c r="L21">
        <v>2425</v>
      </c>
    </row>
    <row r="22" spans="1:12" x14ac:dyDescent="0.2">
      <c r="A22">
        <v>2025</v>
      </c>
      <c r="B22">
        <v>35917</v>
      </c>
      <c r="C22" t="s">
        <v>520</v>
      </c>
      <c r="D22">
        <v>200</v>
      </c>
      <c r="E22" t="s">
        <v>521</v>
      </c>
      <c r="F22" s="1">
        <v>45704</v>
      </c>
      <c r="G22" s="1">
        <v>45704</v>
      </c>
      <c r="H22" t="s">
        <v>522</v>
      </c>
      <c r="I22" t="s">
        <v>523</v>
      </c>
      <c r="K22">
        <v>11</v>
      </c>
      <c r="L22">
        <v>2425</v>
      </c>
    </row>
    <row r="23" spans="1:12" x14ac:dyDescent="0.2">
      <c r="A23">
        <v>2025</v>
      </c>
      <c r="B23">
        <v>35926</v>
      </c>
      <c r="C23" t="s">
        <v>534</v>
      </c>
      <c r="D23">
        <v>200</v>
      </c>
      <c r="E23" t="s">
        <v>535</v>
      </c>
      <c r="F23" s="1">
        <v>45704</v>
      </c>
      <c r="G23" s="1">
        <v>45704</v>
      </c>
      <c r="H23" t="s">
        <v>218</v>
      </c>
      <c r="I23" t="s">
        <v>531</v>
      </c>
      <c r="K23">
        <v>11</v>
      </c>
      <c r="L23">
        <v>2425</v>
      </c>
    </row>
    <row r="24" spans="1:12" x14ac:dyDescent="0.2">
      <c r="A24">
        <v>2025</v>
      </c>
      <c r="B24">
        <v>35970</v>
      </c>
      <c r="C24" t="s">
        <v>564</v>
      </c>
      <c r="D24">
        <v>200</v>
      </c>
      <c r="E24" t="s">
        <v>565</v>
      </c>
      <c r="F24" s="1">
        <v>45704</v>
      </c>
      <c r="G24" s="1">
        <v>45704</v>
      </c>
      <c r="H24" t="s">
        <v>566</v>
      </c>
      <c r="I24" t="s">
        <v>567</v>
      </c>
      <c r="K24">
        <v>11</v>
      </c>
      <c r="L24">
        <v>2425</v>
      </c>
    </row>
    <row r="25" spans="1:12" x14ac:dyDescent="0.2">
      <c r="A25">
        <v>2025</v>
      </c>
      <c r="B25">
        <v>35609</v>
      </c>
      <c r="C25" t="s">
        <v>95</v>
      </c>
      <c r="D25">
        <v>200</v>
      </c>
      <c r="E25" t="s">
        <v>96</v>
      </c>
      <c r="F25" s="1">
        <v>45708</v>
      </c>
      <c r="G25" s="1">
        <v>45711</v>
      </c>
      <c r="H25" t="s">
        <v>97</v>
      </c>
      <c r="I25" t="s">
        <v>98</v>
      </c>
      <c r="K25">
        <v>11</v>
      </c>
      <c r="L25">
        <v>2425</v>
      </c>
    </row>
    <row r="26" spans="1:12" x14ac:dyDescent="0.2">
      <c r="A26">
        <v>2025</v>
      </c>
      <c r="B26">
        <v>35757</v>
      </c>
      <c r="C26" t="s">
        <v>264</v>
      </c>
      <c r="D26">
        <v>200</v>
      </c>
      <c r="E26" t="s">
        <v>265</v>
      </c>
      <c r="F26" s="1">
        <v>45708</v>
      </c>
      <c r="G26" s="1">
        <v>45711</v>
      </c>
      <c r="H26" t="s">
        <v>266</v>
      </c>
      <c r="I26" t="s">
        <v>267</v>
      </c>
      <c r="K26">
        <v>11</v>
      </c>
      <c r="L26">
        <v>2425</v>
      </c>
    </row>
    <row r="27" spans="1:12" x14ac:dyDescent="0.2">
      <c r="A27">
        <v>2025</v>
      </c>
      <c r="B27">
        <v>35876</v>
      </c>
      <c r="C27" t="s">
        <v>451</v>
      </c>
      <c r="D27">
        <v>200</v>
      </c>
      <c r="E27" t="s">
        <v>452</v>
      </c>
      <c r="F27" s="1">
        <v>45709</v>
      </c>
      <c r="G27" s="1">
        <v>45711</v>
      </c>
      <c r="H27" t="s">
        <v>289</v>
      </c>
      <c r="I27" t="s">
        <v>453</v>
      </c>
      <c r="K27">
        <v>11</v>
      </c>
      <c r="L27">
        <v>2425</v>
      </c>
    </row>
    <row r="28" spans="1:12" x14ac:dyDescent="0.2">
      <c r="A28">
        <v>2025</v>
      </c>
      <c r="B28">
        <v>35816</v>
      </c>
      <c r="C28" t="s">
        <v>362</v>
      </c>
      <c r="D28">
        <v>200</v>
      </c>
      <c r="E28" t="s">
        <v>363</v>
      </c>
      <c r="F28" s="1">
        <v>45710</v>
      </c>
      <c r="G28" s="1">
        <v>45711</v>
      </c>
      <c r="H28" t="s">
        <v>246</v>
      </c>
      <c r="I28" t="s">
        <v>361</v>
      </c>
      <c r="K28">
        <v>11</v>
      </c>
      <c r="L28">
        <v>2425</v>
      </c>
    </row>
    <row r="29" spans="1:12" x14ac:dyDescent="0.2">
      <c r="A29">
        <v>2025</v>
      </c>
      <c r="B29">
        <v>35807</v>
      </c>
      <c r="C29" t="s">
        <v>343</v>
      </c>
      <c r="D29">
        <v>200</v>
      </c>
      <c r="E29" t="s">
        <v>344</v>
      </c>
      <c r="F29" s="1">
        <v>45716</v>
      </c>
      <c r="G29" s="1">
        <v>45718</v>
      </c>
      <c r="H29" t="s">
        <v>345</v>
      </c>
      <c r="I29" t="s">
        <v>346</v>
      </c>
      <c r="K29">
        <v>11</v>
      </c>
      <c r="L29">
        <v>2425</v>
      </c>
    </row>
    <row r="30" spans="1:12" x14ac:dyDescent="0.2">
      <c r="A30">
        <v>2025</v>
      </c>
      <c r="B30">
        <v>36048</v>
      </c>
      <c r="C30" t="s">
        <v>608</v>
      </c>
      <c r="D30">
        <v>200</v>
      </c>
      <c r="E30" t="s">
        <v>609</v>
      </c>
      <c r="F30" s="1">
        <v>45717</v>
      </c>
      <c r="G30" s="1">
        <v>45717</v>
      </c>
      <c r="H30" t="s">
        <v>610</v>
      </c>
      <c r="I30" t="s">
        <v>607</v>
      </c>
      <c r="K30">
        <v>11</v>
      </c>
      <c r="L30">
        <v>2526</v>
      </c>
    </row>
    <row r="31" spans="1:12" x14ac:dyDescent="0.2">
      <c r="A31">
        <v>2025</v>
      </c>
      <c r="B31">
        <v>35788</v>
      </c>
      <c r="C31" t="s">
        <v>313</v>
      </c>
      <c r="D31">
        <v>200</v>
      </c>
      <c r="E31" t="s">
        <v>314</v>
      </c>
      <c r="F31" s="1">
        <v>45722</v>
      </c>
      <c r="G31" s="1">
        <v>45725</v>
      </c>
      <c r="H31" t="s">
        <v>315</v>
      </c>
      <c r="I31" t="s">
        <v>312</v>
      </c>
      <c r="K31">
        <v>11</v>
      </c>
      <c r="L31">
        <v>2526</v>
      </c>
    </row>
    <row r="32" spans="1:12" x14ac:dyDescent="0.2">
      <c r="A32">
        <v>2025</v>
      </c>
      <c r="B32">
        <v>35863</v>
      </c>
      <c r="C32" t="s">
        <v>427</v>
      </c>
      <c r="D32">
        <v>200</v>
      </c>
      <c r="E32" t="s">
        <v>428</v>
      </c>
      <c r="F32" s="1">
        <v>45722</v>
      </c>
      <c r="G32" s="1">
        <v>45725</v>
      </c>
      <c r="H32" t="s">
        <v>429</v>
      </c>
      <c r="I32" t="s">
        <v>430</v>
      </c>
      <c r="K32">
        <v>11</v>
      </c>
      <c r="L32">
        <v>2526</v>
      </c>
    </row>
    <row r="33" spans="1:12" x14ac:dyDescent="0.2">
      <c r="A33">
        <v>2025</v>
      </c>
      <c r="B33">
        <v>35943</v>
      </c>
      <c r="C33" t="s">
        <v>554</v>
      </c>
      <c r="D33">
        <v>200</v>
      </c>
      <c r="E33" t="s">
        <v>555</v>
      </c>
      <c r="F33" s="1">
        <v>45722</v>
      </c>
      <c r="G33" s="1">
        <v>45725</v>
      </c>
      <c r="H33" t="s">
        <v>315</v>
      </c>
      <c r="I33" t="s">
        <v>556</v>
      </c>
      <c r="K33">
        <v>11</v>
      </c>
      <c r="L33">
        <v>2526</v>
      </c>
    </row>
    <row r="34" spans="1:12" x14ac:dyDescent="0.2">
      <c r="A34">
        <v>2025</v>
      </c>
      <c r="B34">
        <v>35728</v>
      </c>
      <c r="C34" t="s">
        <v>195</v>
      </c>
      <c r="D34">
        <v>200</v>
      </c>
      <c r="E34" t="s">
        <v>196</v>
      </c>
      <c r="F34" s="1">
        <v>45723</v>
      </c>
      <c r="G34" s="1">
        <v>45725</v>
      </c>
      <c r="H34" t="s">
        <v>197</v>
      </c>
      <c r="I34" t="s">
        <v>198</v>
      </c>
      <c r="K34">
        <v>11</v>
      </c>
      <c r="L34">
        <v>2526</v>
      </c>
    </row>
    <row r="35" spans="1:12" x14ac:dyDescent="0.2">
      <c r="A35">
        <v>2025</v>
      </c>
      <c r="B35">
        <v>35754</v>
      </c>
      <c r="C35" t="s">
        <v>254</v>
      </c>
      <c r="D35">
        <v>200</v>
      </c>
      <c r="E35" t="s">
        <v>255</v>
      </c>
      <c r="F35" s="1">
        <v>45723</v>
      </c>
      <c r="G35" s="1">
        <v>45724</v>
      </c>
      <c r="H35" t="s">
        <v>256</v>
      </c>
      <c r="I35" t="s">
        <v>257</v>
      </c>
      <c r="K35">
        <v>11</v>
      </c>
      <c r="L35">
        <v>2526</v>
      </c>
    </row>
    <row r="36" spans="1:12" x14ac:dyDescent="0.2">
      <c r="A36">
        <v>2025</v>
      </c>
      <c r="B36">
        <v>35801</v>
      </c>
      <c r="C36" t="s">
        <v>336</v>
      </c>
      <c r="D36">
        <v>200</v>
      </c>
      <c r="E36" t="s">
        <v>337</v>
      </c>
      <c r="F36" s="1">
        <v>45723</v>
      </c>
      <c r="G36" s="1">
        <v>45725</v>
      </c>
      <c r="H36" t="s">
        <v>338</v>
      </c>
      <c r="I36" t="s">
        <v>339</v>
      </c>
      <c r="K36">
        <v>11</v>
      </c>
      <c r="L36">
        <v>2526</v>
      </c>
    </row>
    <row r="37" spans="1:12" x14ac:dyDescent="0.2">
      <c r="A37">
        <v>2025</v>
      </c>
      <c r="B37">
        <v>35604</v>
      </c>
      <c r="C37" t="s">
        <v>91</v>
      </c>
      <c r="D37">
        <v>200</v>
      </c>
      <c r="E37" t="s">
        <v>92</v>
      </c>
      <c r="F37" s="1">
        <v>45724</v>
      </c>
      <c r="G37" s="1">
        <v>45724</v>
      </c>
      <c r="H37" t="s">
        <v>93</v>
      </c>
      <c r="I37" t="s">
        <v>94</v>
      </c>
      <c r="K37">
        <v>11</v>
      </c>
      <c r="L37">
        <v>2526</v>
      </c>
    </row>
    <row r="38" spans="1:12" x14ac:dyDescent="0.2">
      <c r="A38">
        <v>2025</v>
      </c>
      <c r="B38">
        <v>35845</v>
      </c>
      <c r="C38" t="s">
        <v>391</v>
      </c>
      <c r="D38">
        <v>200</v>
      </c>
      <c r="E38" t="s">
        <v>392</v>
      </c>
      <c r="F38" s="1">
        <v>45724</v>
      </c>
      <c r="G38" s="1">
        <v>45725</v>
      </c>
      <c r="H38" t="s">
        <v>393</v>
      </c>
      <c r="I38" t="s">
        <v>394</v>
      </c>
      <c r="K38">
        <v>11</v>
      </c>
      <c r="L38">
        <v>2526</v>
      </c>
    </row>
    <row r="39" spans="1:12" x14ac:dyDescent="0.2">
      <c r="A39">
        <v>2025</v>
      </c>
      <c r="B39">
        <v>35877</v>
      </c>
      <c r="C39" t="s">
        <v>454</v>
      </c>
      <c r="D39">
        <v>200</v>
      </c>
      <c r="E39" t="s">
        <v>455</v>
      </c>
      <c r="F39" s="1">
        <v>45724</v>
      </c>
      <c r="G39" s="1">
        <v>45725</v>
      </c>
      <c r="H39" t="s">
        <v>456</v>
      </c>
      <c r="I39" t="s">
        <v>453</v>
      </c>
      <c r="K39">
        <v>11</v>
      </c>
      <c r="L39">
        <v>2526</v>
      </c>
    </row>
    <row r="40" spans="1:12" x14ac:dyDescent="0.2">
      <c r="A40">
        <v>2025</v>
      </c>
      <c r="B40">
        <v>35942</v>
      </c>
      <c r="C40" t="s">
        <v>551</v>
      </c>
      <c r="D40">
        <v>200</v>
      </c>
      <c r="E40" t="s">
        <v>552</v>
      </c>
      <c r="F40" s="1">
        <v>45729</v>
      </c>
      <c r="G40" s="1">
        <v>45732</v>
      </c>
      <c r="H40" t="s">
        <v>553</v>
      </c>
      <c r="I40" t="s">
        <v>550</v>
      </c>
      <c r="K40">
        <v>11</v>
      </c>
      <c r="L40">
        <v>2526</v>
      </c>
    </row>
    <row r="41" spans="1:12" x14ac:dyDescent="0.2">
      <c r="A41">
        <v>2025</v>
      </c>
      <c r="B41">
        <v>35984</v>
      </c>
      <c r="C41" t="s">
        <v>575</v>
      </c>
      <c r="D41">
        <v>200</v>
      </c>
      <c r="E41" t="s">
        <v>576</v>
      </c>
      <c r="F41" s="1">
        <v>45729</v>
      </c>
      <c r="G41" s="1">
        <v>45731</v>
      </c>
      <c r="H41" t="s">
        <v>577</v>
      </c>
      <c r="I41" t="s">
        <v>574</v>
      </c>
      <c r="K41">
        <v>11</v>
      </c>
      <c r="L41">
        <v>2526</v>
      </c>
    </row>
    <row r="42" spans="1:12" x14ac:dyDescent="0.2">
      <c r="A42">
        <v>2025</v>
      </c>
      <c r="B42">
        <v>35750</v>
      </c>
      <c r="C42" t="s">
        <v>247</v>
      </c>
      <c r="D42">
        <v>200</v>
      </c>
      <c r="E42" t="s">
        <v>248</v>
      </c>
      <c r="F42" s="1">
        <v>45730</v>
      </c>
      <c r="G42" s="1">
        <v>45732</v>
      </c>
      <c r="H42" t="s">
        <v>249</v>
      </c>
      <c r="I42" t="s">
        <v>250</v>
      </c>
      <c r="K42">
        <v>11</v>
      </c>
      <c r="L42">
        <v>2526</v>
      </c>
    </row>
    <row r="43" spans="1:12" x14ac:dyDescent="0.2">
      <c r="A43">
        <v>2025</v>
      </c>
      <c r="B43">
        <v>35759</v>
      </c>
      <c r="C43" t="s">
        <v>271</v>
      </c>
      <c r="D43">
        <v>200</v>
      </c>
      <c r="E43" t="s">
        <v>272</v>
      </c>
      <c r="F43" s="1">
        <v>45730</v>
      </c>
      <c r="G43" s="1">
        <v>45732</v>
      </c>
      <c r="H43" t="s">
        <v>45</v>
      </c>
      <c r="I43" t="s">
        <v>267</v>
      </c>
      <c r="K43">
        <v>11</v>
      </c>
      <c r="L43">
        <v>2526</v>
      </c>
    </row>
    <row r="44" spans="1:12" x14ac:dyDescent="0.2">
      <c r="A44">
        <v>2025</v>
      </c>
      <c r="B44">
        <v>35746</v>
      </c>
      <c r="C44" t="s">
        <v>237</v>
      </c>
      <c r="D44">
        <v>200</v>
      </c>
      <c r="E44" t="s">
        <v>238</v>
      </c>
      <c r="F44" s="1">
        <v>45731</v>
      </c>
      <c r="G44" s="1">
        <v>45732</v>
      </c>
      <c r="H44" t="s">
        <v>239</v>
      </c>
      <c r="I44" t="s">
        <v>236</v>
      </c>
      <c r="K44">
        <v>11</v>
      </c>
      <c r="L44">
        <v>2526</v>
      </c>
    </row>
    <row r="45" spans="1:12" x14ac:dyDescent="0.2">
      <c r="A45">
        <v>2025</v>
      </c>
      <c r="B45">
        <v>35813</v>
      </c>
      <c r="C45" t="s">
        <v>354</v>
      </c>
      <c r="D45">
        <v>200</v>
      </c>
      <c r="E45" t="s">
        <v>355</v>
      </c>
      <c r="F45" s="1">
        <v>45731</v>
      </c>
      <c r="G45" s="1">
        <v>45731</v>
      </c>
      <c r="H45" t="s">
        <v>356</v>
      </c>
      <c r="I45" t="s">
        <v>357</v>
      </c>
      <c r="K45">
        <v>11</v>
      </c>
      <c r="L45">
        <v>2526</v>
      </c>
    </row>
    <row r="46" spans="1:12" x14ac:dyDescent="0.2">
      <c r="A46">
        <v>2025</v>
      </c>
      <c r="B46">
        <v>35838</v>
      </c>
      <c r="C46" t="s">
        <v>385</v>
      </c>
      <c r="D46">
        <v>200</v>
      </c>
      <c r="E46" t="s">
        <v>386</v>
      </c>
      <c r="F46" s="1">
        <v>45731</v>
      </c>
      <c r="G46" s="1">
        <v>45732</v>
      </c>
      <c r="H46" t="s">
        <v>70</v>
      </c>
      <c r="I46" t="s">
        <v>387</v>
      </c>
      <c r="K46">
        <v>11</v>
      </c>
      <c r="L46">
        <v>2526</v>
      </c>
    </row>
    <row r="47" spans="1:12" x14ac:dyDescent="0.2">
      <c r="A47">
        <v>2025</v>
      </c>
      <c r="B47">
        <v>35892</v>
      </c>
      <c r="C47" t="s">
        <v>485</v>
      </c>
      <c r="D47">
        <v>200</v>
      </c>
      <c r="E47" t="s">
        <v>486</v>
      </c>
      <c r="F47" s="1">
        <v>45736</v>
      </c>
      <c r="G47" s="1">
        <v>45739</v>
      </c>
      <c r="H47" t="s">
        <v>487</v>
      </c>
      <c r="I47" t="s">
        <v>482</v>
      </c>
      <c r="K47">
        <v>11</v>
      </c>
      <c r="L47">
        <v>2526</v>
      </c>
    </row>
    <row r="48" spans="1:12" x14ac:dyDescent="0.2">
      <c r="A48">
        <v>2025</v>
      </c>
      <c r="B48">
        <v>35624</v>
      </c>
      <c r="C48" t="s">
        <v>107</v>
      </c>
      <c r="D48">
        <v>200</v>
      </c>
      <c r="E48" t="s">
        <v>108</v>
      </c>
      <c r="F48" s="1">
        <v>45737</v>
      </c>
      <c r="G48" s="1">
        <v>45739</v>
      </c>
      <c r="H48" t="s">
        <v>109</v>
      </c>
      <c r="I48" t="s">
        <v>110</v>
      </c>
      <c r="K48">
        <v>11</v>
      </c>
      <c r="L48">
        <v>2526</v>
      </c>
    </row>
    <row r="49" spans="1:12" x14ac:dyDescent="0.2">
      <c r="A49">
        <v>2025</v>
      </c>
      <c r="B49">
        <v>35758</v>
      </c>
      <c r="C49" t="s">
        <v>268</v>
      </c>
      <c r="D49">
        <v>200</v>
      </c>
      <c r="E49" t="s">
        <v>269</v>
      </c>
      <c r="F49" s="1">
        <v>45737</v>
      </c>
      <c r="G49" s="1">
        <v>45739</v>
      </c>
      <c r="H49" t="s">
        <v>270</v>
      </c>
      <c r="I49" t="s">
        <v>267</v>
      </c>
      <c r="K49">
        <v>11</v>
      </c>
      <c r="L49">
        <v>2526</v>
      </c>
    </row>
    <row r="50" spans="1:12" x14ac:dyDescent="0.2">
      <c r="A50">
        <v>2025</v>
      </c>
      <c r="B50">
        <v>35815</v>
      </c>
      <c r="C50" t="s">
        <v>358</v>
      </c>
      <c r="D50">
        <v>200</v>
      </c>
      <c r="E50" t="s">
        <v>359</v>
      </c>
      <c r="F50" s="1">
        <v>45737</v>
      </c>
      <c r="G50" s="1">
        <v>45739</v>
      </c>
      <c r="H50" t="s">
        <v>360</v>
      </c>
      <c r="I50" t="s">
        <v>361</v>
      </c>
      <c r="K50">
        <v>11</v>
      </c>
      <c r="L50">
        <v>2526</v>
      </c>
    </row>
    <row r="51" spans="1:12" x14ac:dyDescent="0.2">
      <c r="A51">
        <v>2025</v>
      </c>
      <c r="B51">
        <v>35939</v>
      </c>
      <c r="C51" t="s">
        <v>543</v>
      </c>
      <c r="D51">
        <v>200</v>
      </c>
      <c r="E51" t="s">
        <v>544</v>
      </c>
      <c r="F51" s="1">
        <v>45737</v>
      </c>
      <c r="G51" s="1">
        <v>45739</v>
      </c>
      <c r="H51" t="s">
        <v>545</v>
      </c>
      <c r="I51" t="s">
        <v>546</v>
      </c>
      <c r="K51">
        <v>11</v>
      </c>
      <c r="L51">
        <v>2526</v>
      </c>
    </row>
    <row r="52" spans="1:12" x14ac:dyDescent="0.2">
      <c r="A52">
        <v>2025</v>
      </c>
      <c r="B52">
        <v>35958</v>
      </c>
      <c r="C52" t="s">
        <v>560</v>
      </c>
      <c r="D52">
        <v>200</v>
      </c>
      <c r="E52" t="s">
        <v>561</v>
      </c>
      <c r="F52" s="1">
        <v>45737</v>
      </c>
      <c r="G52" s="1">
        <v>45739</v>
      </c>
      <c r="H52" t="s">
        <v>562</v>
      </c>
      <c r="I52" t="s">
        <v>563</v>
      </c>
      <c r="K52">
        <v>11</v>
      </c>
      <c r="L52">
        <v>2526</v>
      </c>
    </row>
    <row r="53" spans="1:12" x14ac:dyDescent="0.2">
      <c r="A53">
        <v>2025</v>
      </c>
      <c r="B53">
        <v>36103</v>
      </c>
      <c r="C53" t="s">
        <v>638</v>
      </c>
      <c r="D53">
        <v>200</v>
      </c>
      <c r="E53" t="s">
        <v>639</v>
      </c>
      <c r="F53" s="1">
        <v>45738</v>
      </c>
      <c r="G53" s="1">
        <v>45739</v>
      </c>
      <c r="H53" t="s">
        <v>163</v>
      </c>
      <c r="I53" t="s">
        <v>640</v>
      </c>
      <c r="K53">
        <v>11</v>
      </c>
      <c r="L53">
        <v>2526</v>
      </c>
    </row>
    <row r="54" spans="1:12" x14ac:dyDescent="0.2">
      <c r="A54">
        <v>2025</v>
      </c>
      <c r="B54">
        <v>35855</v>
      </c>
      <c r="C54" t="s">
        <v>413</v>
      </c>
      <c r="D54">
        <v>200</v>
      </c>
      <c r="E54" t="s">
        <v>414</v>
      </c>
      <c r="F54" s="1">
        <v>45743</v>
      </c>
      <c r="G54" s="1">
        <v>45746</v>
      </c>
      <c r="H54" t="s">
        <v>415</v>
      </c>
      <c r="I54" t="s">
        <v>416</v>
      </c>
      <c r="K54">
        <v>11</v>
      </c>
      <c r="L54">
        <v>2526</v>
      </c>
    </row>
    <row r="55" spans="1:12" x14ac:dyDescent="0.2">
      <c r="A55">
        <v>2025</v>
      </c>
      <c r="B55">
        <v>35875</v>
      </c>
      <c r="C55" t="s">
        <v>448</v>
      </c>
      <c r="D55">
        <v>200</v>
      </c>
      <c r="E55" t="s">
        <v>449</v>
      </c>
      <c r="F55" s="1">
        <v>45743</v>
      </c>
      <c r="G55" s="1">
        <v>45746</v>
      </c>
      <c r="H55" t="s">
        <v>450</v>
      </c>
      <c r="I55" t="s">
        <v>447</v>
      </c>
      <c r="K55">
        <v>11</v>
      </c>
      <c r="L55">
        <v>2526</v>
      </c>
    </row>
    <row r="56" spans="1:12" x14ac:dyDescent="0.2">
      <c r="A56">
        <v>2025</v>
      </c>
      <c r="B56">
        <v>35803</v>
      </c>
      <c r="C56" t="s">
        <v>340</v>
      </c>
      <c r="D56">
        <v>200</v>
      </c>
      <c r="E56" t="s">
        <v>341</v>
      </c>
      <c r="F56" s="1">
        <v>45744</v>
      </c>
      <c r="G56" s="1">
        <v>45745</v>
      </c>
      <c r="H56" t="s">
        <v>342</v>
      </c>
      <c r="I56" t="s">
        <v>339</v>
      </c>
      <c r="K56">
        <v>11</v>
      </c>
      <c r="L56">
        <v>2526</v>
      </c>
    </row>
    <row r="57" spans="1:12" x14ac:dyDescent="0.2">
      <c r="A57">
        <v>2025</v>
      </c>
      <c r="B57">
        <v>34424</v>
      </c>
      <c r="C57" t="s">
        <v>53</v>
      </c>
      <c r="D57">
        <v>200</v>
      </c>
      <c r="E57" t="s">
        <v>54</v>
      </c>
      <c r="F57" s="1">
        <v>45750</v>
      </c>
      <c r="G57" s="1">
        <v>45753</v>
      </c>
      <c r="H57" t="s">
        <v>55</v>
      </c>
      <c r="I57" t="s">
        <v>56</v>
      </c>
      <c r="K57">
        <v>11</v>
      </c>
      <c r="L57">
        <v>2526</v>
      </c>
    </row>
    <row r="58" spans="1:12" x14ac:dyDescent="0.2">
      <c r="A58">
        <v>2025</v>
      </c>
      <c r="B58">
        <v>35655</v>
      </c>
      <c r="C58" t="s">
        <v>131</v>
      </c>
      <c r="D58">
        <v>200</v>
      </c>
      <c r="E58" t="s">
        <v>132</v>
      </c>
      <c r="F58" s="1">
        <v>45750</v>
      </c>
      <c r="G58" s="1">
        <v>45753</v>
      </c>
      <c r="H58" t="s">
        <v>133</v>
      </c>
      <c r="I58" t="s">
        <v>134</v>
      </c>
      <c r="K58">
        <v>11</v>
      </c>
      <c r="L58">
        <v>2526</v>
      </c>
    </row>
    <row r="59" spans="1:12" x14ac:dyDescent="0.2">
      <c r="A59">
        <v>2025</v>
      </c>
      <c r="B59">
        <v>35811</v>
      </c>
      <c r="C59" t="s">
        <v>351</v>
      </c>
      <c r="D59">
        <v>200</v>
      </c>
      <c r="E59" t="s">
        <v>352</v>
      </c>
      <c r="F59" s="1">
        <v>45750</v>
      </c>
      <c r="G59" s="1">
        <v>45753</v>
      </c>
      <c r="H59" t="s">
        <v>353</v>
      </c>
      <c r="I59" t="s">
        <v>350</v>
      </c>
      <c r="K59">
        <v>11</v>
      </c>
      <c r="L59">
        <v>2526</v>
      </c>
    </row>
    <row r="60" spans="1:12" x14ac:dyDescent="0.2">
      <c r="A60">
        <v>2025</v>
      </c>
      <c r="B60">
        <v>36006</v>
      </c>
      <c r="C60" t="s">
        <v>590</v>
      </c>
      <c r="D60">
        <v>200</v>
      </c>
      <c r="E60" t="s">
        <v>591</v>
      </c>
      <c r="F60" s="1">
        <v>45750</v>
      </c>
      <c r="G60" s="1">
        <v>45753</v>
      </c>
      <c r="H60" t="s">
        <v>592</v>
      </c>
      <c r="I60" t="s">
        <v>593</v>
      </c>
      <c r="K60">
        <v>11</v>
      </c>
      <c r="L60">
        <v>2526</v>
      </c>
    </row>
    <row r="61" spans="1:12" x14ac:dyDescent="0.2">
      <c r="A61">
        <v>2025</v>
      </c>
      <c r="B61">
        <v>35731</v>
      </c>
      <c r="C61" t="s">
        <v>206</v>
      </c>
      <c r="D61">
        <v>200</v>
      </c>
      <c r="E61" t="s">
        <v>207</v>
      </c>
      <c r="F61" s="1">
        <v>45751</v>
      </c>
      <c r="G61" s="1">
        <v>45753</v>
      </c>
      <c r="H61" t="s">
        <v>208</v>
      </c>
      <c r="I61" t="s">
        <v>205</v>
      </c>
      <c r="K61">
        <v>11</v>
      </c>
      <c r="L61">
        <v>2526</v>
      </c>
    </row>
    <row r="62" spans="1:12" x14ac:dyDescent="0.2">
      <c r="A62">
        <v>2025</v>
      </c>
      <c r="B62">
        <v>35972</v>
      </c>
      <c r="C62" t="s">
        <v>568</v>
      </c>
      <c r="D62">
        <v>200</v>
      </c>
      <c r="E62" t="s">
        <v>569</v>
      </c>
      <c r="F62" s="1">
        <v>45751</v>
      </c>
      <c r="G62" s="1">
        <v>45753</v>
      </c>
      <c r="H62" t="s">
        <v>228</v>
      </c>
      <c r="I62" t="s">
        <v>570</v>
      </c>
      <c r="K62">
        <v>11</v>
      </c>
      <c r="L62">
        <v>2526</v>
      </c>
    </row>
    <row r="63" spans="1:12" x14ac:dyDescent="0.2">
      <c r="A63">
        <v>2025</v>
      </c>
      <c r="B63">
        <v>35901</v>
      </c>
      <c r="C63" t="s">
        <v>500</v>
      </c>
      <c r="D63">
        <v>200</v>
      </c>
      <c r="E63" t="s">
        <v>501</v>
      </c>
      <c r="F63" s="1">
        <v>45752</v>
      </c>
      <c r="G63" s="1">
        <v>45753</v>
      </c>
      <c r="H63" t="s">
        <v>502</v>
      </c>
      <c r="I63" t="s">
        <v>496</v>
      </c>
      <c r="K63">
        <v>11</v>
      </c>
      <c r="L63">
        <v>2526</v>
      </c>
    </row>
    <row r="64" spans="1:12" x14ac:dyDescent="0.2">
      <c r="A64">
        <v>2025</v>
      </c>
      <c r="B64">
        <v>36035</v>
      </c>
      <c r="C64" t="s">
        <v>594</v>
      </c>
      <c r="D64">
        <v>200</v>
      </c>
      <c r="E64" t="s">
        <v>595</v>
      </c>
      <c r="F64" s="1">
        <v>45752</v>
      </c>
      <c r="G64" s="1">
        <v>45753</v>
      </c>
      <c r="H64" t="s">
        <v>596</v>
      </c>
      <c r="I64" t="s">
        <v>597</v>
      </c>
      <c r="K64">
        <v>11</v>
      </c>
      <c r="L64">
        <v>2526</v>
      </c>
    </row>
    <row r="65" spans="1:12" x14ac:dyDescent="0.2">
      <c r="A65">
        <v>2025</v>
      </c>
      <c r="B65">
        <v>35747</v>
      </c>
      <c r="C65" t="s">
        <v>240</v>
      </c>
      <c r="D65">
        <v>200</v>
      </c>
      <c r="E65" t="s">
        <v>241</v>
      </c>
      <c r="F65" s="1">
        <v>45757</v>
      </c>
      <c r="G65" s="1">
        <v>45760</v>
      </c>
      <c r="H65" t="s">
        <v>242</v>
      </c>
      <c r="I65" t="s">
        <v>243</v>
      </c>
      <c r="K65">
        <v>11</v>
      </c>
      <c r="L65">
        <v>2526</v>
      </c>
    </row>
    <row r="66" spans="1:12" x14ac:dyDescent="0.2">
      <c r="A66">
        <v>2025</v>
      </c>
      <c r="B66">
        <v>35771</v>
      </c>
      <c r="C66" t="s">
        <v>287</v>
      </c>
      <c r="D66">
        <v>200</v>
      </c>
      <c r="E66" t="s">
        <v>288</v>
      </c>
      <c r="F66" s="1">
        <v>45757</v>
      </c>
      <c r="G66" s="1">
        <v>45760</v>
      </c>
      <c r="H66" t="s">
        <v>289</v>
      </c>
      <c r="I66" t="s">
        <v>290</v>
      </c>
      <c r="K66">
        <v>11</v>
      </c>
      <c r="L66">
        <v>2526</v>
      </c>
    </row>
    <row r="67" spans="1:12" x14ac:dyDescent="0.2">
      <c r="A67">
        <v>2025</v>
      </c>
      <c r="B67">
        <v>35854</v>
      </c>
      <c r="C67" t="s">
        <v>410</v>
      </c>
      <c r="D67">
        <v>200</v>
      </c>
      <c r="E67" t="s">
        <v>411</v>
      </c>
      <c r="F67" s="1">
        <v>45757</v>
      </c>
      <c r="G67" s="1">
        <v>45759</v>
      </c>
      <c r="H67" t="s">
        <v>412</v>
      </c>
      <c r="I67" t="s">
        <v>409</v>
      </c>
      <c r="K67">
        <v>11</v>
      </c>
      <c r="L67">
        <v>2526</v>
      </c>
    </row>
    <row r="68" spans="1:12" x14ac:dyDescent="0.2">
      <c r="A68">
        <v>2025</v>
      </c>
      <c r="B68">
        <v>35881</v>
      </c>
      <c r="C68" t="s">
        <v>460</v>
      </c>
      <c r="D68">
        <v>200</v>
      </c>
      <c r="E68" t="s">
        <v>461</v>
      </c>
      <c r="F68" s="1">
        <v>45758</v>
      </c>
      <c r="G68" s="1">
        <v>45760</v>
      </c>
      <c r="H68" t="s">
        <v>462</v>
      </c>
      <c r="I68" t="s">
        <v>463</v>
      </c>
      <c r="K68">
        <v>11</v>
      </c>
      <c r="L68">
        <v>2526</v>
      </c>
    </row>
    <row r="69" spans="1:12" x14ac:dyDescent="0.2">
      <c r="A69">
        <v>2025</v>
      </c>
      <c r="B69">
        <v>35884</v>
      </c>
      <c r="C69" t="s">
        <v>467</v>
      </c>
      <c r="D69">
        <v>200</v>
      </c>
      <c r="E69" t="s">
        <v>468</v>
      </c>
      <c r="F69" s="1">
        <v>45758</v>
      </c>
      <c r="G69" s="1">
        <v>45760</v>
      </c>
      <c r="H69" t="s">
        <v>469</v>
      </c>
      <c r="I69" t="s">
        <v>470</v>
      </c>
      <c r="K69">
        <v>11</v>
      </c>
      <c r="L69">
        <v>2526</v>
      </c>
    </row>
    <row r="70" spans="1:12" x14ac:dyDescent="0.2">
      <c r="A70">
        <v>2025</v>
      </c>
      <c r="B70">
        <v>36001</v>
      </c>
      <c r="C70" t="s">
        <v>586</v>
      </c>
      <c r="D70">
        <v>200</v>
      </c>
      <c r="E70" t="s">
        <v>587</v>
      </c>
      <c r="F70" s="1">
        <v>45758</v>
      </c>
      <c r="G70" s="1">
        <v>45760</v>
      </c>
      <c r="H70" t="s">
        <v>588</v>
      </c>
      <c r="I70" t="s">
        <v>589</v>
      </c>
      <c r="K70">
        <v>11</v>
      </c>
      <c r="L70">
        <v>2526</v>
      </c>
    </row>
    <row r="71" spans="1:12" x14ac:dyDescent="0.2">
      <c r="A71">
        <v>2025</v>
      </c>
      <c r="B71">
        <v>35819</v>
      </c>
      <c r="C71" t="s">
        <v>364</v>
      </c>
      <c r="D71">
        <v>200</v>
      </c>
      <c r="E71" t="s">
        <v>365</v>
      </c>
      <c r="F71" s="1">
        <v>45759</v>
      </c>
      <c r="G71" s="1">
        <v>45760</v>
      </c>
      <c r="H71" t="s">
        <v>366</v>
      </c>
      <c r="I71" t="s">
        <v>367</v>
      </c>
      <c r="K71">
        <v>11</v>
      </c>
      <c r="L71">
        <v>2526</v>
      </c>
    </row>
    <row r="72" spans="1:12" x14ac:dyDescent="0.2">
      <c r="A72">
        <v>2025</v>
      </c>
      <c r="B72">
        <v>35847</v>
      </c>
      <c r="C72" t="s">
        <v>398</v>
      </c>
      <c r="D72">
        <v>200</v>
      </c>
      <c r="E72" t="s">
        <v>399</v>
      </c>
      <c r="F72" s="1">
        <v>45759</v>
      </c>
      <c r="G72" s="1">
        <v>45760</v>
      </c>
      <c r="H72" t="s">
        <v>123</v>
      </c>
      <c r="I72" t="s">
        <v>400</v>
      </c>
      <c r="K72">
        <v>11</v>
      </c>
      <c r="L72">
        <v>2526</v>
      </c>
    </row>
    <row r="73" spans="1:12" x14ac:dyDescent="0.2">
      <c r="A73">
        <v>2025</v>
      </c>
      <c r="B73">
        <v>35853</v>
      </c>
      <c r="C73" t="s">
        <v>406</v>
      </c>
      <c r="D73">
        <v>200</v>
      </c>
      <c r="E73" t="s">
        <v>407</v>
      </c>
      <c r="F73" s="1">
        <v>45759</v>
      </c>
      <c r="G73" s="1">
        <v>45760</v>
      </c>
      <c r="H73" t="s">
        <v>408</v>
      </c>
      <c r="I73" t="s">
        <v>409</v>
      </c>
      <c r="K73">
        <v>11</v>
      </c>
      <c r="L73">
        <v>2526</v>
      </c>
    </row>
    <row r="74" spans="1:12" x14ac:dyDescent="0.2">
      <c r="A74">
        <v>2025</v>
      </c>
      <c r="B74">
        <v>35868</v>
      </c>
      <c r="C74" t="s">
        <v>435</v>
      </c>
      <c r="D74">
        <v>200</v>
      </c>
      <c r="E74" t="s">
        <v>436</v>
      </c>
      <c r="F74" s="1">
        <v>45759</v>
      </c>
      <c r="G74" s="1">
        <v>45760</v>
      </c>
      <c r="H74" t="s">
        <v>437</v>
      </c>
      <c r="I74" t="s">
        <v>434</v>
      </c>
      <c r="K74">
        <v>11</v>
      </c>
      <c r="L74">
        <v>2526</v>
      </c>
    </row>
    <row r="75" spans="1:12" x14ac:dyDescent="0.2">
      <c r="A75">
        <v>2025</v>
      </c>
      <c r="B75">
        <v>35925</v>
      </c>
      <c r="C75" t="s">
        <v>532</v>
      </c>
      <c r="D75">
        <v>200</v>
      </c>
      <c r="E75" t="s">
        <v>533</v>
      </c>
      <c r="F75" s="1">
        <v>45760</v>
      </c>
      <c r="G75" s="1">
        <v>45760</v>
      </c>
      <c r="H75" t="s">
        <v>170</v>
      </c>
      <c r="I75" t="s">
        <v>531</v>
      </c>
      <c r="K75">
        <v>11</v>
      </c>
      <c r="L75">
        <v>2526</v>
      </c>
    </row>
    <row r="76" spans="1:12" x14ac:dyDescent="0.2">
      <c r="A76">
        <v>2025</v>
      </c>
      <c r="B76">
        <v>36045</v>
      </c>
      <c r="C76" t="s">
        <v>601</v>
      </c>
      <c r="D76">
        <v>200</v>
      </c>
      <c r="E76" t="s">
        <v>602</v>
      </c>
      <c r="F76" s="1">
        <v>45766</v>
      </c>
      <c r="G76" s="1">
        <v>45766</v>
      </c>
      <c r="H76" t="s">
        <v>603</v>
      </c>
      <c r="I76" t="s">
        <v>604</v>
      </c>
      <c r="K76">
        <v>11</v>
      </c>
      <c r="L76">
        <v>2526</v>
      </c>
    </row>
    <row r="77" spans="1:12" x14ac:dyDescent="0.2">
      <c r="A77">
        <v>2025</v>
      </c>
      <c r="B77">
        <v>35773</v>
      </c>
      <c r="C77" t="s">
        <v>291</v>
      </c>
      <c r="D77">
        <v>200</v>
      </c>
      <c r="E77" t="s">
        <v>292</v>
      </c>
      <c r="F77" s="1">
        <v>45770</v>
      </c>
      <c r="G77" s="1">
        <v>45774</v>
      </c>
      <c r="H77" t="s">
        <v>51</v>
      </c>
      <c r="I77" t="s">
        <v>290</v>
      </c>
      <c r="K77">
        <v>11</v>
      </c>
      <c r="L77">
        <v>2526</v>
      </c>
    </row>
    <row r="78" spans="1:12" x14ac:dyDescent="0.2">
      <c r="A78">
        <v>2025</v>
      </c>
      <c r="B78">
        <v>35846</v>
      </c>
      <c r="C78" t="s">
        <v>395</v>
      </c>
      <c r="D78">
        <v>200</v>
      </c>
      <c r="E78" t="s">
        <v>396</v>
      </c>
      <c r="F78" s="1">
        <v>45771</v>
      </c>
      <c r="G78" s="1">
        <v>45774</v>
      </c>
      <c r="H78" t="s">
        <v>397</v>
      </c>
      <c r="I78" t="s">
        <v>394</v>
      </c>
      <c r="K78">
        <v>11</v>
      </c>
      <c r="L78">
        <v>2526</v>
      </c>
    </row>
    <row r="79" spans="1:12" x14ac:dyDescent="0.2">
      <c r="A79">
        <v>2025</v>
      </c>
      <c r="B79">
        <v>35721</v>
      </c>
      <c r="C79" t="s">
        <v>175</v>
      </c>
      <c r="D79">
        <v>200</v>
      </c>
      <c r="E79" t="s">
        <v>176</v>
      </c>
      <c r="F79" s="1">
        <v>45772</v>
      </c>
      <c r="G79" s="1">
        <v>45774</v>
      </c>
      <c r="H79" t="s">
        <v>177</v>
      </c>
      <c r="I79" t="s">
        <v>178</v>
      </c>
      <c r="K79">
        <v>11</v>
      </c>
      <c r="L79">
        <v>2526</v>
      </c>
    </row>
    <row r="80" spans="1:12" x14ac:dyDescent="0.2">
      <c r="A80">
        <v>2025</v>
      </c>
      <c r="B80">
        <v>35729</v>
      </c>
      <c r="C80" t="s">
        <v>199</v>
      </c>
      <c r="D80">
        <v>200</v>
      </c>
      <c r="E80" t="s">
        <v>200</v>
      </c>
      <c r="F80" s="1">
        <v>45772</v>
      </c>
      <c r="G80" s="1">
        <v>45774</v>
      </c>
      <c r="H80" t="s">
        <v>201</v>
      </c>
      <c r="I80" t="s">
        <v>198</v>
      </c>
      <c r="K80">
        <v>11</v>
      </c>
      <c r="L80">
        <v>2526</v>
      </c>
    </row>
    <row r="81" spans="1:12" x14ac:dyDescent="0.2">
      <c r="A81">
        <v>2025</v>
      </c>
      <c r="B81">
        <v>35859</v>
      </c>
      <c r="C81" t="s">
        <v>423</v>
      </c>
      <c r="D81">
        <v>200</v>
      </c>
      <c r="E81" t="s">
        <v>424</v>
      </c>
      <c r="F81" s="1">
        <v>45772</v>
      </c>
      <c r="G81" s="1">
        <v>45774</v>
      </c>
      <c r="H81" t="s">
        <v>425</v>
      </c>
      <c r="I81" t="s">
        <v>426</v>
      </c>
      <c r="K81">
        <v>11</v>
      </c>
      <c r="L81">
        <v>2526</v>
      </c>
    </row>
    <row r="82" spans="1:12" x14ac:dyDescent="0.2">
      <c r="A82">
        <v>2025</v>
      </c>
      <c r="B82">
        <v>35882</v>
      </c>
      <c r="C82" t="s">
        <v>464</v>
      </c>
      <c r="D82">
        <v>200</v>
      </c>
      <c r="E82" t="s">
        <v>465</v>
      </c>
      <c r="F82" s="1">
        <v>45772</v>
      </c>
      <c r="G82" s="1">
        <v>45774</v>
      </c>
      <c r="H82" t="s">
        <v>466</v>
      </c>
      <c r="I82" t="s">
        <v>463</v>
      </c>
      <c r="K82">
        <v>11</v>
      </c>
      <c r="L82">
        <v>2526</v>
      </c>
    </row>
    <row r="83" spans="1:12" x14ac:dyDescent="0.2">
      <c r="A83">
        <v>2025</v>
      </c>
      <c r="B83">
        <v>35945</v>
      </c>
      <c r="C83" t="s">
        <v>557</v>
      </c>
      <c r="D83">
        <v>200</v>
      </c>
      <c r="E83" t="s">
        <v>558</v>
      </c>
      <c r="F83" s="1">
        <v>45772</v>
      </c>
      <c r="G83" s="1">
        <v>45774</v>
      </c>
      <c r="H83" t="s">
        <v>559</v>
      </c>
      <c r="I83" t="s">
        <v>556</v>
      </c>
      <c r="K83">
        <v>11</v>
      </c>
      <c r="L83">
        <v>2526</v>
      </c>
    </row>
    <row r="84" spans="1:12" x14ac:dyDescent="0.2">
      <c r="A84">
        <v>2025</v>
      </c>
      <c r="B84">
        <v>36036</v>
      </c>
      <c r="C84" t="s">
        <v>598</v>
      </c>
      <c r="D84">
        <v>200</v>
      </c>
      <c r="E84" t="s">
        <v>599</v>
      </c>
      <c r="F84" s="1">
        <v>45772</v>
      </c>
      <c r="G84" s="1">
        <v>45774</v>
      </c>
      <c r="H84" t="s">
        <v>201</v>
      </c>
      <c r="I84" t="s">
        <v>600</v>
      </c>
      <c r="K84">
        <v>11</v>
      </c>
      <c r="L84">
        <v>2526</v>
      </c>
    </row>
    <row r="85" spans="1:12" x14ac:dyDescent="0.2">
      <c r="A85">
        <v>2025</v>
      </c>
      <c r="B85">
        <v>35888</v>
      </c>
      <c r="C85" t="s">
        <v>474</v>
      </c>
      <c r="D85">
        <v>200</v>
      </c>
      <c r="E85" t="s">
        <v>475</v>
      </c>
      <c r="F85" s="1">
        <v>45773</v>
      </c>
      <c r="G85" s="1">
        <v>45774</v>
      </c>
      <c r="H85" t="s">
        <v>476</v>
      </c>
      <c r="I85" t="s">
        <v>477</v>
      </c>
      <c r="K85">
        <v>11</v>
      </c>
      <c r="L85">
        <v>2526</v>
      </c>
    </row>
    <row r="86" spans="1:12" x14ac:dyDescent="0.2">
      <c r="A86">
        <v>2025</v>
      </c>
      <c r="B86">
        <v>36147</v>
      </c>
      <c r="C86" t="s">
        <v>664</v>
      </c>
      <c r="D86">
        <v>200</v>
      </c>
      <c r="E86" t="s">
        <v>665</v>
      </c>
      <c r="F86" s="1">
        <v>45773</v>
      </c>
      <c r="G86" s="1">
        <v>45773</v>
      </c>
      <c r="H86" t="s">
        <v>666</v>
      </c>
      <c r="I86" t="s">
        <v>667</v>
      </c>
      <c r="K86">
        <v>11</v>
      </c>
      <c r="L86">
        <v>2526</v>
      </c>
    </row>
    <row r="87" spans="1:12" x14ac:dyDescent="0.2">
      <c r="A87">
        <v>2025</v>
      </c>
      <c r="B87">
        <v>35657</v>
      </c>
      <c r="C87" t="s">
        <v>138</v>
      </c>
      <c r="D87">
        <v>200</v>
      </c>
      <c r="E87" t="s">
        <v>139</v>
      </c>
      <c r="F87" s="1">
        <v>45779</v>
      </c>
      <c r="G87" s="1">
        <v>45781</v>
      </c>
      <c r="H87" t="s">
        <v>140</v>
      </c>
      <c r="I87" t="s">
        <v>134</v>
      </c>
      <c r="K87">
        <v>11</v>
      </c>
      <c r="L87">
        <v>2526</v>
      </c>
    </row>
    <row r="88" spans="1:12" x14ac:dyDescent="0.2">
      <c r="A88">
        <v>2025</v>
      </c>
      <c r="B88">
        <v>35735</v>
      </c>
      <c r="C88" t="s">
        <v>216</v>
      </c>
      <c r="D88">
        <v>200</v>
      </c>
      <c r="E88" t="s">
        <v>217</v>
      </c>
      <c r="F88" s="1">
        <v>45779</v>
      </c>
      <c r="G88" s="1">
        <v>45781</v>
      </c>
      <c r="H88" t="s">
        <v>218</v>
      </c>
      <c r="I88" t="s">
        <v>215</v>
      </c>
      <c r="K88">
        <v>11</v>
      </c>
      <c r="L88">
        <v>2526</v>
      </c>
    </row>
    <row r="89" spans="1:12" x14ac:dyDescent="0.2">
      <c r="A89">
        <v>2025</v>
      </c>
      <c r="B89">
        <v>35822</v>
      </c>
      <c r="C89" t="s">
        <v>371</v>
      </c>
      <c r="D89">
        <v>200</v>
      </c>
      <c r="E89" t="s">
        <v>372</v>
      </c>
      <c r="F89" s="1">
        <v>45779</v>
      </c>
      <c r="G89" s="1">
        <v>45781</v>
      </c>
      <c r="H89" t="s">
        <v>373</v>
      </c>
      <c r="I89" t="s">
        <v>367</v>
      </c>
      <c r="K89">
        <v>11</v>
      </c>
      <c r="L89">
        <v>2526</v>
      </c>
    </row>
    <row r="90" spans="1:12" x14ac:dyDescent="0.2">
      <c r="A90">
        <v>2025</v>
      </c>
      <c r="B90">
        <v>35857</v>
      </c>
      <c r="C90" t="s">
        <v>420</v>
      </c>
      <c r="D90">
        <v>200</v>
      </c>
      <c r="E90" t="s">
        <v>421</v>
      </c>
      <c r="F90" s="1">
        <v>45779</v>
      </c>
      <c r="G90" s="1">
        <v>45781</v>
      </c>
      <c r="H90" t="s">
        <v>422</v>
      </c>
      <c r="I90" t="s">
        <v>416</v>
      </c>
      <c r="K90">
        <v>11</v>
      </c>
      <c r="L90">
        <v>2526</v>
      </c>
    </row>
    <row r="91" spans="1:12" x14ac:dyDescent="0.2">
      <c r="A91">
        <v>2025</v>
      </c>
      <c r="B91">
        <v>35872</v>
      </c>
      <c r="C91" t="s">
        <v>444</v>
      </c>
      <c r="D91">
        <v>200</v>
      </c>
      <c r="E91" t="s">
        <v>445</v>
      </c>
      <c r="F91" s="1">
        <v>45779</v>
      </c>
      <c r="G91" s="1">
        <v>45781</v>
      </c>
      <c r="H91" t="s">
        <v>446</v>
      </c>
      <c r="I91" t="s">
        <v>447</v>
      </c>
      <c r="K91">
        <v>11</v>
      </c>
      <c r="L91">
        <v>2526</v>
      </c>
    </row>
    <row r="92" spans="1:12" x14ac:dyDescent="0.2">
      <c r="A92">
        <v>2025</v>
      </c>
      <c r="B92">
        <v>36063</v>
      </c>
      <c r="C92" t="s">
        <v>617</v>
      </c>
      <c r="D92">
        <v>200</v>
      </c>
      <c r="E92" t="s">
        <v>618</v>
      </c>
      <c r="F92" s="1">
        <v>45779</v>
      </c>
      <c r="G92" s="1">
        <v>45781</v>
      </c>
      <c r="H92" t="s">
        <v>619</v>
      </c>
      <c r="I92" t="s">
        <v>620</v>
      </c>
      <c r="K92">
        <v>11</v>
      </c>
      <c r="L92">
        <v>2526</v>
      </c>
    </row>
    <row r="93" spans="1:12" x14ac:dyDescent="0.2">
      <c r="A93">
        <v>2025</v>
      </c>
      <c r="B93">
        <v>35742</v>
      </c>
      <c r="C93" t="s">
        <v>226</v>
      </c>
      <c r="D93">
        <v>200</v>
      </c>
      <c r="E93" t="s">
        <v>227</v>
      </c>
      <c r="F93" s="1">
        <v>45780</v>
      </c>
      <c r="G93" s="1">
        <v>45781</v>
      </c>
      <c r="H93" t="s">
        <v>228</v>
      </c>
      <c r="I93" t="s">
        <v>229</v>
      </c>
      <c r="K93">
        <v>11</v>
      </c>
      <c r="L93">
        <v>2526</v>
      </c>
    </row>
    <row r="94" spans="1:12" x14ac:dyDescent="0.2">
      <c r="A94">
        <v>2025</v>
      </c>
      <c r="B94">
        <v>35810</v>
      </c>
      <c r="C94" t="s">
        <v>347</v>
      </c>
      <c r="D94">
        <v>200</v>
      </c>
      <c r="E94" t="s">
        <v>348</v>
      </c>
      <c r="F94" s="1">
        <v>45780</v>
      </c>
      <c r="G94" s="1">
        <v>45781</v>
      </c>
      <c r="H94" t="s">
        <v>349</v>
      </c>
      <c r="I94" t="s">
        <v>350</v>
      </c>
      <c r="K94">
        <v>11</v>
      </c>
      <c r="L94">
        <v>2526</v>
      </c>
    </row>
    <row r="95" spans="1:12" x14ac:dyDescent="0.2">
      <c r="A95">
        <v>2025</v>
      </c>
      <c r="B95">
        <v>36057</v>
      </c>
      <c r="C95" t="s">
        <v>614</v>
      </c>
      <c r="D95">
        <v>200</v>
      </c>
      <c r="E95" t="s">
        <v>615</v>
      </c>
      <c r="F95" s="1">
        <v>45780</v>
      </c>
      <c r="G95" s="1">
        <v>45780</v>
      </c>
      <c r="H95" t="s">
        <v>616</v>
      </c>
      <c r="I95" t="s">
        <v>613</v>
      </c>
      <c r="K95">
        <v>11</v>
      </c>
      <c r="L95">
        <v>2526</v>
      </c>
    </row>
    <row r="96" spans="1:12" x14ac:dyDescent="0.2">
      <c r="A96">
        <v>2025</v>
      </c>
      <c r="B96">
        <v>36094</v>
      </c>
      <c r="C96" t="s">
        <v>628</v>
      </c>
      <c r="D96">
        <v>200</v>
      </c>
      <c r="E96" t="s">
        <v>629</v>
      </c>
      <c r="F96" s="1">
        <v>45780</v>
      </c>
      <c r="G96" s="1">
        <v>45781</v>
      </c>
      <c r="H96" t="s">
        <v>630</v>
      </c>
      <c r="I96" t="s">
        <v>631</v>
      </c>
      <c r="K96">
        <v>11</v>
      </c>
      <c r="L96">
        <v>2526</v>
      </c>
    </row>
    <row r="97" spans="1:12" x14ac:dyDescent="0.2">
      <c r="A97">
        <v>2025</v>
      </c>
      <c r="B97">
        <v>35763</v>
      </c>
      <c r="C97" t="s">
        <v>273</v>
      </c>
      <c r="D97">
        <v>200</v>
      </c>
      <c r="E97" t="s">
        <v>274</v>
      </c>
      <c r="F97" s="1">
        <v>45784</v>
      </c>
      <c r="G97" s="1">
        <v>45788</v>
      </c>
      <c r="H97" t="s">
        <v>48</v>
      </c>
      <c r="I97" t="s">
        <v>275</v>
      </c>
      <c r="K97">
        <v>11</v>
      </c>
      <c r="L97">
        <v>2526</v>
      </c>
    </row>
    <row r="98" spans="1:12" x14ac:dyDescent="0.2">
      <c r="A98">
        <v>2025</v>
      </c>
      <c r="B98">
        <v>36056</v>
      </c>
      <c r="C98" t="s">
        <v>611</v>
      </c>
      <c r="D98">
        <v>200</v>
      </c>
      <c r="E98" t="s">
        <v>612</v>
      </c>
      <c r="F98" s="1">
        <v>45785</v>
      </c>
      <c r="G98" s="1">
        <v>45788</v>
      </c>
      <c r="H98" t="s">
        <v>197</v>
      </c>
      <c r="I98" t="s">
        <v>613</v>
      </c>
      <c r="K98">
        <v>11</v>
      </c>
      <c r="L98">
        <v>2526</v>
      </c>
    </row>
    <row r="99" spans="1:12" x14ac:dyDescent="0.2">
      <c r="A99">
        <v>2025</v>
      </c>
      <c r="B99">
        <v>35784</v>
      </c>
      <c r="C99" t="s">
        <v>307</v>
      </c>
      <c r="D99">
        <v>200</v>
      </c>
      <c r="E99" t="s">
        <v>308</v>
      </c>
      <c r="F99" s="1">
        <v>45786</v>
      </c>
      <c r="G99" s="1">
        <v>45787</v>
      </c>
      <c r="H99" t="s">
        <v>117</v>
      </c>
      <c r="I99" t="s">
        <v>303</v>
      </c>
      <c r="K99">
        <v>11</v>
      </c>
      <c r="L99">
        <v>2526</v>
      </c>
    </row>
    <row r="100" spans="1:12" x14ac:dyDescent="0.2">
      <c r="A100">
        <v>2025</v>
      </c>
      <c r="B100">
        <v>35878</v>
      </c>
      <c r="C100" t="s">
        <v>457</v>
      </c>
      <c r="D100">
        <v>200</v>
      </c>
      <c r="E100" t="s">
        <v>458</v>
      </c>
      <c r="F100" s="1">
        <v>45786</v>
      </c>
      <c r="G100" s="1">
        <v>45787</v>
      </c>
      <c r="H100" t="s">
        <v>459</v>
      </c>
      <c r="I100" t="s">
        <v>453</v>
      </c>
      <c r="K100">
        <v>11</v>
      </c>
      <c r="L100">
        <v>2526</v>
      </c>
    </row>
    <row r="101" spans="1:12" x14ac:dyDescent="0.2">
      <c r="A101">
        <v>2025</v>
      </c>
      <c r="B101">
        <v>36095</v>
      </c>
      <c r="C101" t="s">
        <v>632</v>
      </c>
      <c r="D101">
        <v>200</v>
      </c>
      <c r="E101" t="s">
        <v>633</v>
      </c>
      <c r="F101" s="1">
        <v>45787</v>
      </c>
      <c r="G101" s="1">
        <v>45787</v>
      </c>
      <c r="H101" t="s">
        <v>249</v>
      </c>
      <c r="I101" t="s">
        <v>631</v>
      </c>
      <c r="K101">
        <v>11</v>
      </c>
      <c r="L101">
        <v>2526</v>
      </c>
    </row>
    <row r="102" spans="1:12" x14ac:dyDescent="0.2">
      <c r="A102">
        <v>2025</v>
      </c>
      <c r="B102">
        <v>36124</v>
      </c>
      <c r="C102" t="s">
        <v>644</v>
      </c>
      <c r="D102">
        <v>200</v>
      </c>
      <c r="E102" t="s">
        <v>645</v>
      </c>
      <c r="F102" s="1">
        <v>45787</v>
      </c>
      <c r="G102" s="1">
        <v>45787</v>
      </c>
      <c r="H102" t="s">
        <v>130</v>
      </c>
      <c r="I102" t="s">
        <v>646</v>
      </c>
      <c r="K102">
        <v>11</v>
      </c>
      <c r="L102">
        <v>2526</v>
      </c>
    </row>
    <row r="103" spans="1:12" x14ac:dyDescent="0.2">
      <c r="A103">
        <v>2025</v>
      </c>
      <c r="B103">
        <v>35726</v>
      </c>
      <c r="C103" t="s">
        <v>192</v>
      </c>
      <c r="D103">
        <v>200</v>
      </c>
      <c r="E103" t="s">
        <v>193</v>
      </c>
      <c r="F103" s="1">
        <v>45792</v>
      </c>
      <c r="G103" s="1">
        <v>45795</v>
      </c>
      <c r="H103" t="s">
        <v>194</v>
      </c>
      <c r="I103" t="s">
        <v>188</v>
      </c>
      <c r="K103">
        <v>11</v>
      </c>
      <c r="L103">
        <v>2526</v>
      </c>
    </row>
    <row r="104" spans="1:12" x14ac:dyDescent="0.2">
      <c r="A104">
        <v>2025</v>
      </c>
      <c r="B104">
        <v>35756</v>
      </c>
      <c r="C104" t="s">
        <v>261</v>
      </c>
      <c r="D104">
        <v>200</v>
      </c>
      <c r="E104" t="s">
        <v>262</v>
      </c>
      <c r="F104" s="1">
        <v>45792</v>
      </c>
      <c r="G104" s="1">
        <v>45795</v>
      </c>
      <c r="H104" t="s">
        <v>263</v>
      </c>
      <c r="I104" t="s">
        <v>257</v>
      </c>
      <c r="K104">
        <v>11</v>
      </c>
      <c r="L104">
        <v>2526</v>
      </c>
    </row>
    <row r="105" spans="1:12" x14ac:dyDescent="0.2">
      <c r="A105">
        <v>2025</v>
      </c>
      <c r="B105">
        <v>35764</v>
      </c>
      <c r="C105" t="s">
        <v>276</v>
      </c>
      <c r="D105">
        <v>200</v>
      </c>
      <c r="E105" t="s">
        <v>277</v>
      </c>
      <c r="F105" s="1">
        <v>45792</v>
      </c>
      <c r="G105" s="1">
        <v>45795</v>
      </c>
      <c r="H105" t="s">
        <v>278</v>
      </c>
      <c r="I105" t="s">
        <v>279</v>
      </c>
      <c r="K105">
        <v>11</v>
      </c>
      <c r="L105">
        <v>2526</v>
      </c>
    </row>
    <row r="106" spans="1:12" x14ac:dyDescent="0.2">
      <c r="A106">
        <v>2025</v>
      </c>
      <c r="B106">
        <v>35787</v>
      </c>
      <c r="C106" t="s">
        <v>309</v>
      </c>
      <c r="D106">
        <v>200</v>
      </c>
      <c r="E106" t="s">
        <v>310</v>
      </c>
      <c r="F106" s="1">
        <v>45792</v>
      </c>
      <c r="G106" s="1">
        <v>45795</v>
      </c>
      <c r="H106" t="s">
        <v>311</v>
      </c>
      <c r="I106" t="s">
        <v>312</v>
      </c>
      <c r="K106">
        <v>11</v>
      </c>
      <c r="L106">
        <v>2526</v>
      </c>
    </row>
    <row r="107" spans="1:12" x14ac:dyDescent="0.2">
      <c r="A107">
        <v>2025</v>
      </c>
      <c r="B107">
        <v>35839</v>
      </c>
      <c r="C107" t="s">
        <v>388</v>
      </c>
      <c r="D107">
        <v>200</v>
      </c>
      <c r="E107" t="s">
        <v>389</v>
      </c>
      <c r="F107" s="1">
        <v>45792</v>
      </c>
      <c r="G107" s="1">
        <v>45795</v>
      </c>
      <c r="H107" t="s">
        <v>390</v>
      </c>
      <c r="I107" t="s">
        <v>387</v>
      </c>
      <c r="K107">
        <v>11</v>
      </c>
      <c r="L107">
        <v>2526</v>
      </c>
    </row>
    <row r="108" spans="1:12" x14ac:dyDescent="0.2">
      <c r="A108">
        <v>2025</v>
      </c>
      <c r="B108">
        <v>35733</v>
      </c>
      <c r="C108" t="s">
        <v>209</v>
      </c>
      <c r="D108">
        <v>200</v>
      </c>
      <c r="E108" t="s">
        <v>210</v>
      </c>
      <c r="F108" s="1">
        <v>45793</v>
      </c>
      <c r="G108" s="1">
        <v>45795</v>
      </c>
      <c r="H108" t="s">
        <v>211</v>
      </c>
      <c r="I108" t="s">
        <v>205</v>
      </c>
      <c r="K108">
        <v>11</v>
      </c>
      <c r="L108">
        <v>2526</v>
      </c>
    </row>
    <row r="109" spans="1:12" x14ac:dyDescent="0.2">
      <c r="A109">
        <v>2025</v>
      </c>
      <c r="B109">
        <v>35910</v>
      </c>
      <c r="C109" t="s">
        <v>516</v>
      </c>
      <c r="D109">
        <v>200</v>
      </c>
      <c r="E109" t="s">
        <v>517</v>
      </c>
      <c r="F109" s="1">
        <v>45793</v>
      </c>
      <c r="G109" s="1">
        <v>45795</v>
      </c>
      <c r="H109" t="s">
        <v>518</v>
      </c>
      <c r="I109" t="s">
        <v>519</v>
      </c>
      <c r="K109">
        <v>11</v>
      </c>
      <c r="L109">
        <v>2526</v>
      </c>
    </row>
    <row r="110" spans="1:12" x14ac:dyDescent="0.2">
      <c r="A110">
        <v>2025</v>
      </c>
      <c r="B110">
        <v>36171</v>
      </c>
      <c r="C110" t="s">
        <v>690</v>
      </c>
      <c r="D110">
        <v>200</v>
      </c>
      <c r="E110" t="s">
        <v>691</v>
      </c>
      <c r="F110" s="1">
        <v>45793</v>
      </c>
      <c r="G110" s="1">
        <v>45795</v>
      </c>
      <c r="H110" t="s">
        <v>692</v>
      </c>
      <c r="I110" t="s">
        <v>693</v>
      </c>
      <c r="K110">
        <v>11</v>
      </c>
      <c r="L110">
        <v>2526</v>
      </c>
    </row>
    <row r="111" spans="1:12" x14ac:dyDescent="0.2">
      <c r="A111">
        <v>2025</v>
      </c>
      <c r="B111">
        <v>36111</v>
      </c>
      <c r="C111" t="s">
        <v>641</v>
      </c>
      <c r="D111">
        <v>200</v>
      </c>
      <c r="E111" t="s">
        <v>642</v>
      </c>
      <c r="F111" s="1">
        <v>45795</v>
      </c>
      <c r="G111" s="1">
        <v>45795</v>
      </c>
      <c r="H111" t="s">
        <v>278</v>
      </c>
      <c r="I111" t="s">
        <v>643</v>
      </c>
      <c r="K111">
        <v>11</v>
      </c>
      <c r="L111">
        <v>2526</v>
      </c>
    </row>
    <row r="112" spans="1:12" x14ac:dyDescent="0.2">
      <c r="A112">
        <v>2025</v>
      </c>
      <c r="B112">
        <v>36199</v>
      </c>
      <c r="C112" t="s">
        <v>716</v>
      </c>
      <c r="D112">
        <v>200</v>
      </c>
      <c r="E112" t="s">
        <v>717</v>
      </c>
      <c r="F112" s="1">
        <v>45795</v>
      </c>
      <c r="G112" s="1">
        <v>45795</v>
      </c>
      <c r="H112" t="s">
        <v>718</v>
      </c>
      <c r="I112" t="s">
        <v>719</v>
      </c>
      <c r="K112">
        <v>11</v>
      </c>
      <c r="L112">
        <v>2526</v>
      </c>
    </row>
    <row r="113" spans="1:12" x14ac:dyDescent="0.2">
      <c r="A113">
        <v>2025</v>
      </c>
      <c r="B113">
        <v>35748</v>
      </c>
      <c r="C113" t="s">
        <v>244</v>
      </c>
      <c r="D113">
        <v>200</v>
      </c>
      <c r="E113" t="s">
        <v>245</v>
      </c>
      <c r="F113" s="1">
        <v>45801</v>
      </c>
      <c r="G113" s="1">
        <v>45802</v>
      </c>
      <c r="H113" t="s">
        <v>246</v>
      </c>
      <c r="I113" t="s">
        <v>243</v>
      </c>
      <c r="K113">
        <v>11</v>
      </c>
      <c r="L113">
        <v>2526</v>
      </c>
    </row>
    <row r="114" spans="1:12" x14ac:dyDescent="0.2">
      <c r="A114">
        <v>2025</v>
      </c>
      <c r="B114">
        <v>35730</v>
      </c>
      <c r="C114" t="s">
        <v>202</v>
      </c>
      <c r="D114">
        <v>200</v>
      </c>
      <c r="E114" t="s">
        <v>203</v>
      </c>
      <c r="F114" s="1">
        <v>45806</v>
      </c>
      <c r="G114" s="1">
        <v>45809</v>
      </c>
      <c r="H114" t="s">
        <v>204</v>
      </c>
      <c r="I114" t="s">
        <v>205</v>
      </c>
      <c r="K114">
        <v>11</v>
      </c>
      <c r="L114">
        <v>2526</v>
      </c>
    </row>
    <row r="115" spans="1:12" x14ac:dyDescent="0.2">
      <c r="A115">
        <v>2025</v>
      </c>
      <c r="B115">
        <v>35740</v>
      </c>
      <c r="C115" t="s">
        <v>223</v>
      </c>
      <c r="D115">
        <v>200</v>
      </c>
      <c r="E115" t="s">
        <v>224</v>
      </c>
      <c r="F115" s="1">
        <v>45806</v>
      </c>
      <c r="G115" s="1">
        <v>45809</v>
      </c>
      <c r="H115" t="s">
        <v>225</v>
      </c>
      <c r="I115" t="s">
        <v>222</v>
      </c>
      <c r="K115">
        <v>11</v>
      </c>
      <c r="L115">
        <v>2526</v>
      </c>
    </row>
    <row r="116" spans="1:12" x14ac:dyDescent="0.2">
      <c r="A116">
        <v>2025</v>
      </c>
      <c r="B116">
        <v>35717</v>
      </c>
      <c r="C116" t="s">
        <v>165</v>
      </c>
      <c r="D116">
        <v>200</v>
      </c>
      <c r="E116" t="s">
        <v>166</v>
      </c>
      <c r="F116" s="1">
        <v>45807</v>
      </c>
      <c r="G116" s="1">
        <v>45809</v>
      </c>
      <c r="H116" t="s">
        <v>167</v>
      </c>
      <c r="I116" t="s">
        <v>164</v>
      </c>
      <c r="K116">
        <v>11</v>
      </c>
      <c r="L116">
        <v>2526</v>
      </c>
    </row>
    <row r="117" spans="1:12" x14ac:dyDescent="0.2">
      <c r="A117">
        <v>2025</v>
      </c>
      <c r="B117">
        <v>35724</v>
      </c>
      <c r="C117" t="s">
        <v>185</v>
      </c>
      <c r="D117">
        <v>200</v>
      </c>
      <c r="E117" t="s">
        <v>186</v>
      </c>
      <c r="F117" s="1">
        <v>45807</v>
      </c>
      <c r="G117" s="1">
        <v>45809</v>
      </c>
      <c r="H117" t="s">
        <v>187</v>
      </c>
      <c r="I117" t="s">
        <v>188</v>
      </c>
      <c r="K117">
        <v>11</v>
      </c>
      <c r="L117">
        <v>2526</v>
      </c>
    </row>
    <row r="118" spans="1:12" x14ac:dyDescent="0.2">
      <c r="A118">
        <v>2025</v>
      </c>
      <c r="B118">
        <v>35739</v>
      </c>
      <c r="C118" t="s">
        <v>219</v>
      </c>
      <c r="D118">
        <v>200</v>
      </c>
      <c r="E118" t="s">
        <v>220</v>
      </c>
      <c r="F118" s="1">
        <v>45807</v>
      </c>
      <c r="G118" s="1">
        <v>45809</v>
      </c>
      <c r="H118" t="s">
        <v>221</v>
      </c>
      <c r="I118" t="s">
        <v>222</v>
      </c>
      <c r="K118">
        <v>11</v>
      </c>
      <c r="L118">
        <v>2526</v>
      </c>
    </row>
    <row r="119" spans="1:12" x14ac:dyDescent="0.2">
      <c r="A119">
        <v>2025</v>
      </c>
      <c r="B119">
        <v>35793</v>
      </c>
      <c r="C119" t="s">
        <v>320</v>
      </c>
      <c r="D119">
        <v>200</v>
      </c>
      <c r="E119" t="s">
        <v>321</v>
      </c>
      <c r="F119" s="1">
        <v>45807</v>
      </c>
      <c r="G119" s="1">
        <v>45809</v>
      </c>
      <c r="H119" t="s">
        <v>322</v>
      </c>
      <c r="I119" t="s">
        <v>319</v>
      </c>
      <c r="K119">
        <v>11</v>
      </c>
      <c r="L119">
        <v>2526</v>
      </c>
    </row>
    <row r="120" spans="1:12" x14ac:dyDescent="0.2">
      <c r="A120">
        <v>2025</v>
      </c>
      <c r="B120">
        <v>35941</v>
      </c>
      <c r="C120" t="s">
        <v>547</v>
      </c>
      <c r="D120">
        <v>200</v>
      </c>
      <c r="E120" t="s">
        <v>548</v>
      </c>
      <c r="F120" s="1">
        <v>45807</v>
      </c>
      <c r="G120" s="1">
        <v>45809</v>
      </c>
      <c r="H120" t="s">
        <v>549</v>
      </c>
      <c r="I120" t="s">
        <v>550</v>
      </c>
      <c r="K120">
        <v>11</v>
      </c>
      <c r="L120">
        <v>2526</v>
      </c>
    </row>
    <row r="121" spans="1:12" x14ac:dyDescent="0.2">
      <c r="A121">
        <v>2025</v>
      </c>
      <c r="B121">
        <v>36090</v>
      </c>
      <c r="C121" t="s">
        <v>625</v>
      </c>
      <c r="D121">
        <v>200</v>
      </c>
      <c r="E121" t="s">
        <v>626</v>
      </c>
      <c r="F121" s="1">
        <v>45807</v>
      </c>
      <c r="G121" s="1">
        <v>45809</v>
      </c>
      <c r="H121" t="s">
        <v>187</v>
      </c>
      <c r="I121" t="s">
        <v>627</v>
      </c>
      <c r="K121">
        <v>11</v>
      </c>
      <c r="L121">
        <v>2526</v>
      </c>
    </row>
    <row r="122" spans="1:12" x14ac:dyDescent="0.2">
      <c r="A122">
        <v>2025</v>
      </c>
      <c r="B122">
        <v>36149</v>
      </c>
      <c r="C122" t="s">
        <v>668</v>
      </c>
      <c r="D122">
        <v>200</v>
      </c>
      <c r="E122" t="s">
        <v>669</v>
      </c>
      <c r="F122" s="1">
        <v>45807</v>
      </c>
      <c r="G122" s="1">
        <v>45809</v>
      </c>
      <c r="H122" t="s">
        <v>670</v>
      </c>
      <c r="I122" t="s">
        <v>667</v>
      </c>
      <c r="K122">
        <v>11</v>
      </c>
      <c r="L122">
        <v>2526</v>
      </c>
    </row>
    <row r="123" spans="1:12" x14ac:dyDescent="0.2">
      <c r="A123">
        <v>2025</v>
      </c>
      <c r="B123">
        <v>35722</v>
      </c>
      <c r="C123" t="s">
        <v>179</v>
      </c>
      <c r="D123">
        <v>200</v>
      </c>
      <c r="E123" t="s">
        <v>180</v>
      </c>
      <c r="F123" s="1">
        <v>45808</v>
      </c>
      <c r="G123" s="1">
        <v>45809</v>
      </c>
      <c r="H123" t="s">
        <v>181</v>
      </c>
      <c r="I123" t="s">
        <v>178</v>
      </c>
      <c r="K123">
        <v>11</v>
      </c>
      <c r="L123">
        <v>2526</v>
      </c>
    </row>
    <row r="124" spans="1:12" x14ac:dyDescent="0.2">
      <c r="A124">
        <v>2025</v>
      </c>
      <c r="B124">
        <v>35723</v>
      </c>
      <c r="C124" t="s">
        <v>182</v>
      </c>
      <c r="D124">
        <v>200</v>
      </c>
      <c r="E124" t="s">
        <v>183</v>
      </c>
      <c r="F124" s="1">
        <v>45808</v>
      </c>
      <c r="G124" s="1">
        <v>45809</v>
      </c>
      <c r="H124" t="s">
        <v>184</v>
      </c>
      <c r="I124" t="s">
        <v>178</v>
      </c>
      <c r="K124">
        <v>11</v>
      </c>
      <c r="L124">
        <v>2526</v>
      </c>
    </row>
    <row r="125" spans="1:12" x14ac:dyDescent="0.2">
      <c r="A125">
        <v>2025</v>
      </c>
      <c r="B125">
        <v>36126</v>
      </c>
      <c r="C125" t="s">
        <v>647</v>
      </c>
      <c r="D125">
        <v>200</v>
      </c>
      <c r="E125" t="s">
        <v>648</v>
      </c>
      <c r="F125" s="1">
        <v>45808</v>
      </c>
      <c r="G125" s="1">
        <v>45809</v>
      </c>
      <c r="H125" t="s">
        <v>649</v>
      </c>
      <c r="I125" t="s">
        <v>646</v>
      </c>
      <c r="K125">
        <v>11</v>
      </c>
      <c r="L125">
        <v>2526</v>
      </c>
    </row>
    <row r="126" spans="1:12" x14ac:dyDescent="0.2">
      <c r="A126">
        <v>2025</v>
      </c>
      <c r="B126">
        <v>36185</v>
      </c>
      <c r="C126" t="s">
        <v>708</v>
      </c>
      <c r="D126">
        <v>200</v>
      </c>
      <c r="E126" t="s">
        <v>709</v>
      </c>
      <c r="F126" s="1">
        <v>45808</v>
      </c>
      <c r="G126" s="1">
        <v>45809</v>
      </c>
      <c r="H126" t="s">
        <v>38</v>
      </c>
      <c r="I126" t="s">
        <v>710</v>
      </c>
      <c r="K126">
        <v>11</v>
      </c>
      <c r="L126">
        <v>2526</v>
      </c>
    </row>
    <row r="127" spans="1:12" x14ac:dyDescent="0.2">
      <c r="A127">
        <v>2025</v>
      </c>
      <c r="B127">
        <v>35560</v>
      </c>
      <c r="C127" t="s">
        <v>79</v>
      </c>
      <c r="D127">
        <v>200</v>
      </c>
      <c r="E127" t="s">
        <v>80</v>
      </c>
      <c r="F127" s="1">
        <v>45812</v>
      </c>
      <c r="G127" s="1">
        <v>45815</v>
      </c>
      <c r="H127" t="s">
        <v>81</v>
      </c>
      <c r="I127" t="s">
        <v>82</v>
      </c>
      <c r="K127">
        <v>11</v>
      </c>
      <c r="L127">
        <v>2526</v>
      </c>
    </row>
    <row r="128" spans="1:12" x14ac:dyDescent="0.2">
      <c r="A128">
        <v>2025</v>
      </c>
      <c r="B128">
        <v>35537</v>
      </c>
      <c r="C128" t="s">
        <v>64</v>
      </c>
      <c r="D128">
        <v>200</v>
      </c>
      <c r="E128" t="s">
        <v>65</v>
      </c>
      <c r="F128" s="1">
        <v>45813</v>
      </c>
      <c r="G128" s="1">
        <v>45816</v>
      </c>
      <c r="H128" t="s">
        <v>66</v>
      </c>
      <c r="I128" t="s">
        <v>67</v>
      </c>
      <c r="K128">
        <v>11</v>
      </c>
      <c r="L128">
        <v>2526</v>
      </c>
    </row>
    <row r="129" spans="1:12" x14ac:dyDescent="0.2">
      <c r="A129">
        <v>2025</v>
      </c>
      <c r="B129">
        <v>35744</v>
      </c>
      <c r="C129" t="s">
        <v>233</v>
      </c>
      <c r="D129">
        <v>200</v>
      </c>
      <c r="E129" t="s">
        <v>234</v>
      </c>
      <c r="F129" s="1">
        <v>45813</v>
      </c>
      <c r="G129" s="1">
        <v>45816</v>
      </c>
      <c r="H129" t="s">
        <v>235</v>
      </c>
      <c r="I129" t="s">
        <v>236</v>
      </c>
      <c r="K129">
        <v>11</v>
      </c>
      <c r="L129">
        <v>2526</v>
      </c>
    </row>
    <row r="130" spans="1:12" x14ac:dyDescent="0.2">
      <c r="A130">
        <v>2025</v>
      </c>
      <c r="B130">
        <v>35720</v>
      </c>
      <c r="C130" t="s">
        <v>172</v>
      </c>
      <c r="D130">
        <v>200</v>
      </c>
      <c r="E130" t="s">
        <v>173</v>
      </c>
      <c r="F130" s="1">
        <v>45814</v>
      </c>
      <c r="G130" s="1">
        <v>45816</v>
      </c>
      <c r="H130" t="s">
        <v>174</v>
      </c>
      <c r="I130" t="s">
        <v>171</v>
      </c>
      <c r="K130">
        <v>11</v>
      </c>
      <c r="L130">
        <v>2526</v>
      </c>
    </row>
    <row r="131" spans="1:12" x14ac:dyDescent="0.2">
      <c r="A131">
        <v>2025</v>
      </c>
      <c r="B131">
        <v>36081</v>
      </c>
      <c r="C131" t="s">
        <v>621</v>
      </c>
      <c r="D131">
        <v>200</v>
      </c>
      <c r="E131" t="s">
        <v>622</v>
      </c>
      <c r="F131" s="1">
        <v>45815</v>
      </c>
      <c r="G131" s="1">
        <v>45815</v>
      </c>
      <c r="H131" t="s">
        <v>623</v>
      </c>
      <c r="I131" t="s">
        <v>624</v>
      </c>
      <c r="K131">
        <v>11</v>
      </c>
      <c r="L131">
        <v>2526</v>
      </c>
    </row>
    <row r="132" spans="1:12" x14ac:dyDescent="0.2">
      <c r="A132">
        <v>2025</v>
      </c>
      <c r="B132">
        <v>36202</v>
      </c>
      <c r="C132" t="s">
        <v>720</v>
      </c>
      <c r="D132">
        <v>200</v>
      </c>
      <c r="E132" t="s">
        <v>721</v>
      </c>
      <c r="F132" s="1">
        <v>45815</v>
      </c>
      <c r="G132" s="1">
        <v>45816</v>
      </c>
      <c r="H132" t="s">
        <v>384</v>
      </c>
      <c r="I132" t="s">
        <v>722</v>
      </c>
      <c r="K132">
        <v>11</v>
      </c>
      <c r="L132">
        <v>2526</v>
      </c>
    </row>
    <row r="133" spans="1:12" x14ac:dyDescent="0.2">
      <c r="A133">
        <v>2025</v>
      </c>
      <c r="B133">
        <v>35798</v>
      </c>
      <c r="C133" t="s">
        <v>327</v>
      </c>
      <c r="D133">
        <v>200</v>
      </c>
      <c r="E133" t="s">
        <v>328</v>
      </c>
      <c r="F133" s="1">
        <v>45819</v>
      </c>
      <c r="G133" s="1">
        <v>45822</v>
      </c>
      <c r="H133" t="s">
        <v>329</v>
      </c>
      <c r="I133" t="s">
        <v>330</v>
      </c>
      <c r="K133">
        <v>11</v>
      </c>
      <c r="L133">
        <v>2526</v>
      </c>
    </row>
    <row r="134" spans="1:12" x14ac:dyDescent="0.2">
      <c r="A134">
        <v>2025</v>
      </c>
      <c r="B134">
        <v>36220</v>
      </c>
      <c r="C134" t="s">
        <v>737</v>
      </c>
      <c r="D134">
        <v>200</v>
      </c>
      <c r="E134" t="s">
        <v>738</v>
      </c>
      <c r="F134" s="1">
        <v>45821</v>
      </c>
      <c r="G134" s="1">
        <v>45822</v>
      </c>
      <c r="H134" t="s">
        <v>739</v>
      </c>
      <c r="I134" t="s">
        <v>740</v>
      </c>
      <c r="K134">
        <v>11</v>
      </c>
      <c r="L134">
        <v>2526</v>
      </c>
    </row>
    <row r="135" spans="1:12" x14ac:dyDescent="0.2">
      <c r="A135">
        <v>2025</v>
      </c>
      <c r="B135">
        <v>35987</v>
      </c>
      <c r="C135" t="s">
        <v>578</v>
      </c>
      <c r="D135">
        <v>200</v>
      </c>
      <c r="E135" t="s">
        <v>579</v>
      </c>
      <c r="F135" s="1">
        <v>45822</v>
      </c>
      <c r="G135" s="1">
        <v>45823</v>
      </c>
      <c r="H135" t="s">
        <v>580</v>
      </c>
      <c r="I135" t="s">
        <v>581</v>
      </c>
      <c r="K135">
        <v>11</v>
      </c>
      <c r="L135">
        <v>2526</v>
      </c>
    </row>
    <row r="136" spans="1:12" x14ac:dyDescent="0.2">
      <c r="A136">
        <v>2025</v>
      </c>
      <c r="B136">
        <v>36236</v>
      </c>
      <c r="C136" t="s">
        <v>765</v>
      </c>
      <c r="D136">
        <v>200</v>
      </c>
      <c r="E136" t="s">
        <v>766</v>
      </c>
      <c r="F136" s="1">
        <v>45822</v>
      </c>
      <c r="G136" s="1">
        <v>45823</v>
      </c>
      <c r="H136" t="s">
        <v>20</v>
      </c>
      <c r="I136" t="s">
        <v>767</v>
      </c>
      <c r="K136">
        <v>11</v>
      </c>
      <c r="L136">
        <v>2526</v>
      </c>
    </row>
    <row r="137" spans="1:12" x14ac:dyDescent="0.2">
      <c r="A137">
        <v>2025</v>
      </c>
      <c r="B137">
        <v>35795</v>
      </c>
      <c r="C137" t="s">
        <v>323</v>
      </c>
      <c r="D137">
        <v>200</v>
      </c>
      <c r="E137" t="s">
        <v>324</v>
      </c>
      <c r="F137" s="1">
        <v>45826</v>
      </c>
      <c r="G137" s="1">
        <v>45830</v>
      </c>
      <c r="H137" t="s">
        <v>325</v>
      </c>
      <c r="I137" t="s">
        <v>326</v>
      </c>
      <c r="K137">
        <v>11</v>
      </c>
      <c r="L137">
        <v>2526</v>
      </c>
    </row>
    <row r="138" spans="1:12" x14ac:dyDescent="0.2">
      <c r="A138">
        <v>2025</v>
      </c>
      <c r="B138">
        <v>36167</v>
      </c>
      <c r="C138" t="s">
        <v>688</v>
      </c>
      <c r="D138">
        <v>200</v>
      </c>
      <c r="E138" t="s">
        <v>689</v>
      </c>
      <c r="F138" s="1">
        <v>45826</v>
      </c>
      <c r="G138" s="1">
        <v>45829</v>
      </c>
      <c r="H138" t="s">
        <v>147</v>
      </c>
      <c r="I138" t="s">
        <v>687</v>
      </c>
      <c r="K138">
        <v>11</v>
      </c>
      <c r="L138">
        <v>2526</v>
      </c>
    </row>
    <row r="139" spans="1:12" x14ac:dyDescent="0.2">
      <c r="A139">
        <v>2025</v>
      </c>
      <c r="B139">
        <v>35656</v>
      </c>
      <c r="C139" t="s">
        <v>135</v>
      </c>
      <c r="D139">
        <v>200</v>
      </c>
      <c r="E139" t="s">
        <v>136</v>
      </c>
      <c r="F139" s="1">
        <v>45828</v>
      </c>
      <c r="G139" s="1">
        <v>45830</v>
      </c>
      <c r="H139" t="s">
        <v>137</v>
      </c>
      <c r="I139" t="s">
        <v>134</v>
      </c>
      <c r="K139">
        <v>11</v>
      </c>
      <c r="L139">
        <v>2526</v>
      </c>
    </row>
    <row r="140" spans="1:12" x14ac:dyDescent="0.2">
      <c r="A140">
        <v>2025</v>
      </c>
      <c r="B140">
        <v>36164</v>
      </c>
      <c r="C140" t="s">
        <v>684</v>
      </c>
      <c r="D140">
        <v>200</v>
      </c>
      <c r="E140" t="s">
        <v>685</v>
      </c>
      <c r="F140" s="1">
        <v>45828</v>
      </c>
      <c r="G140" s="1">
        <v>45830</v>
      </c>
      <c r="H140" t="s">
        <v>686</v>
      </c>
      <c r="I140" t="s">
        <v>687</v>
      </c>
      <c r="K140">
        <v>11</v>
      </c>
      <c r="L140">
        <v>2526</v>
      </c>
    </row>
    <row r="141" spans="1:12" x14ac:dyDescent="0.2">
      <c r="A141">
        <v>2025</v>
      </c>
      <c r="B141">
        <v>36217</v>
      </c>
      <c r="C141" t="s">
        <v>735</v>
      </c>
      <c r="D141">
        <v>200</v>
      </c>
      <c r="E141" t="s">
        <v>736</v>
      </c>
      <c r="F141" s="1">
        <v>45832</v>
      </c>
      <c r="G141" s="1">
        <v>45836</v>
      </c>
      <c r="H141" t="s">
        <v>235</v>
      </c>
      <c r="I141" t="s">
        <v>734</v>
      </c>
      <c r="K141">
        <v>11</v>
      </c>
      <c r="L141">
        <v>2526</v>
      </c>
    </row>
    <row r="142" spans="1:12" x14ac:dyDescent="0.2">
      <c r="A142">
        <v>2025</v>
      </c>
      <c r="B142">
        <v>36127</v>
      </c>
      <c r="C142" t="s">
        <v>650</v>
      </c>
      <c r="D142">
        <v>200</v>
      </c>
      <c r="E142" t="s">
        <v>651</v>
      </c>
      <c r="F142" s="1">
        <v>45835</v>
      </c>
      <c r="G142" s="1">
        <v>45836</v>
      </c>
      <c r="H142" t="s">
        <v>652</v>
      </c>
      <c r="I142" t="s">
        <v>653</v>
      </c>
      <c r="K142">
        <v>11</v>
      </c>
      <c r="L142">
        <v>2526</v>
      </c>
    </row>
    <row r="143" spans="1:12" x14ac:dyDescent="0.2">
      <c r="A143">
        <v>2025</v>
      </c>
      <c r="B143">
        <v>36152</v>
      </c>
      <c r="C143" t="s">
        <v>674</v>
      </c>
      <c r="D143">
        <v>200</v>
      </c>
      <c r="E143" t="s">
        <v>675</v>
      </c>
      <c r="F143" s="1">
        <v>45835</v>
      </c>
      <c r="G143" s="1">
        <v>45837</v>
      </c>
      <c r="H143" t="s">
        <v>676</v>
      </c>
      <c r="I143" t="s">
        <v>673</v>
      </c>
      <c r="K143">
        <v>11</v>
      </c>
      <c r="L143">
        <v>2526</v>
      </c>
    </row>
    <row r="144" spans="1:12" x14ac:dyDescent="0.2">
      <c r="A144">
        <v>2025</v>
      </c>
      <c r="B144">
        <v>36222</v>
      </c>
      <c r="C144" t="s">
        <v>743</v>
      </c>
      <c r="D144">
        <v>200</v>
      </c>
      <c r="E144" t="s">
        <v>744</v>
      </c>
      <c r="F144" s="1">
        <v>45835</v>
      </c>
      <c r="G144" s="1">
        <v>45837</v>
      </c>
      <c r="H144" t="s">
        <v>745</v>
      </c>
      <c r="I144" t="s">
        <v>740</v>
      </c>
      <c r="K144">
        <v>11</v>
      </c>
      <c r="L144">
        <v>2526</v>
      </c>
    </row>
    <row r="145" spans="1:12" x14ac:dyDescent="0.2">
      <c r="A145">
        <v>2025</v>
      </c>
      <c r="B145">
        <v>36132</v>
      </c>
      <c r="C145" t="s">
        <v>654</v>
      </c>
      <c r="D145">
        <v>200</v>
      </c>
      <c r="E145" t="s">
        <v>655</v>
      </c>
      <c r="F145" s="1">
        <v>45836</v>
      </c>
      <c r="G145" s="1">
        <v>45836</v>
      </c>
      <c r="H145" t="s">
        <v>656</v>
      </c>
      <c r="I145" t="s">
        <v>657</v>
      </c>
      <c r="K145">
        <v>11</v>
      </c>
      <c r="L145">
        <v>2526</v>
      </c>
    </row>
    <row r="146" spans="1:12" x14ac:dyDescent="0.2">
      <c r="A146">
        <v>2025</v>
      </c>
      <c r="B146">
        <v>36229</v>
      </c>
      <c r="C146" t="s">
        <v>757</v>
      </c>
      <c r="D146">
        <v>200</v>
      </c>
      <c r="E146" t="s">
        <v>758</v>
      </c>
      <c r="F146" s="1">
        <v>45847</v>
      </c>
      <c r="G146" s="1">
        <v>45851</v>
      </c>
      <c r="H146" t="s">
        <v>450</v>
      </c>
      <c r="I146" t="s">
        <v>754</v>
      </c>
      <c r="K146">
        <v>11</v>
      </c>
      <c r="L146">
        <v>2526</v>
      </c>
    </row>
    <row r="147" spans="1:12" x14ac:dyDescent="0.2">
      <c r="A147">
        <v>2025</v>
      </c>
      <c r="B147">
        <v>36278</v>
      </c>
      <c r="C147" t="s">
        <v>778</v>
      </c>
      <c r="D147">
        <v>200</v>
      </c>
      <c r="E147" t="s">
        <v>779</v>
      </c>
      <c r="F147" s="1">
        <v>45847</v>
      </c>
      <c r="G147" s="1">
        <v>45851</v>
      </c>
      <c r="H147" t="s">
        <v>450</v>
      </c>
      <c r="I147" t="s">
        <v>777</v>
      </c>
      <c r="K147">
        <v>11</v>
      </c>
      <c r="L147">
        <v>2526</v>
      </c>
    </row>
    <row r="148" spans="1:12" x14ac:dyDescent="0.2">
      <c r="A148">
        <v>2025</v>
      </c>
      <c r="B148">
        <v>36290</v>
      </c>
      <c r="C148" t="s">
        <v>799</v>
      </c>
      <c r="D148">
        <v>200</v>
      </c>
      <c r="E148" t="s">
        <v>800</v>
      </c>
      <c r="F148" s="1">
        <v>45847</v>
      </c>
      <c r="G148" s="1">
        <v>45851</v>
      </c>
      <c r="H148" t="s">
        <v>27</v>
      </c>
      <c r="I148" t="s">
        <v>798</v>
      </c>
      <c r="K148">
        <v>11</v>
      </c>
      <c r="L148">
        <v>2526</v>
      </c>
    </row>
    <row r="149" spans="1:12" x14ac:dyDescent="0.2">
      <c r="A149">
        <v>2025</v>
      </c>
      <c r="B149">
        <v>35775</v>
      </c>
      <c r="C149" t="s">
        <v>297</v>
      </c>
      <c r="D149">
        <v>200</v>
      </c>
      <c r="E149" t="s">
        <v>298</v>
      </c>
      <c r="F149" s="1">
        <v>45848</v>
      </c>
      <c r="G149" s="1">
        <v>45851</v>
      </c>
      <c r="H149" t="s">
        <v>299</v>
      </c>
      <c r="I149" t="s">
        <v>296</v>
      </c>
      <c r="K149">
        <v>11</v>
      </c>
      <c r="L149">
        <v>2526</v>
      </c>
    </row>
    <row r="150" spans="1:12" x14ac:dyDescent="0.2">
      <c r="A150">
        <v>2025</v>
      </c>
      <c r="B150">
        <v>36288</v>
      </c>
      <c r="C150" t="s">
        <v>795</v>
      </c>
      <c r="D150">
        <v>200</v>
      </c>
      <c r="E150" t="s">
        <v>796</v>
      </c>
      <c r="F150" s="1">
        <v>45851</v>
      </c>
      <c r="G150" s="1">
        <v>9326</v>
      </c>
      <c r="H150" t="s">
        <v>797</v>
      </c>
      <c r="I150" t="s">
        <v>798</v>
      </c>
      <c r="K150">
        <v>11</v>
      </c>
      <c r="L150">
        <v>2526</v>
      </c>
    </row>
    <row r="151" spans="1:12" x14ac:dyDescent="0.2">
      <c r="A151">
        <v>2025</v>
      </c>
      <c r="B151">
        <v>35766</v>
      </c>
      <c r="C151" t="s">
        <v>280</v>
      </c>
      <c r="D151">
        <v>200</v>
      </c>
      <c r="E151" t="s">
        <v>281</v>
      </c>
      <c r="F151" s="1">
        <v>45854</v>
      </c>
      <c r="G151" s="1">
        <v>45858</v>
      </c>
      <c r="H151" t="s">
        <v>282</v>
      </c>
      <c r="I151" t="s">
        <v>279</v>
      </c>
      <c r="K151">
        <v>11</v>
      </c>
      <c r="L151">
        <v>2526</v>
      </c>
    </row>
    <row r="152" spans="1:12" x14ac:dyDescent="0.2">
      <c r="A152">
        <v>2025</v>
      </c>
      <c r="B152">
        <v>35825</v>
      </c>
      <c r="C152" t="s">
        <v>374</v>
      </c>
      <c r="D152">
        <v>200</v>
      </c>
      <c r="E152" t="s">
        <v>375</v>
      </c>
      <c r="F152" s="1">
        <v>45855</v>
      </c>
      <c r="G152" s="1">
        <v>45858</v>
      </c>
      <c r="H152" t="s">
        <v>376</v>
      </c>
      <c r="I152" t="s">
        <v>377</v>
      </c>
      <c r="K152">
        <v>11</v>
      </c>
      <c r="L152">
        <v>2526</v>
      </c>
    </row>
    <row r="153" spans="1:12" x14ac:dyDescent="0.2">
      <c r="A153">
        <v>2025</v>
      </c>
      <c r="B153">
        <v>35923</v>
      </c>
      <c r="C153" t="s">
        <v>528</v>
      </c>
      <c r="D153">
        <v>200</v>
      </c>
      <c r="E153" t="s">
        <v>529</v>
      </c>
      <c r="F153" s="1">
        <v>45856</v>
      </c>
      <c r="G153" s="1">
        <v>45858</v>
      </c>
      <c r="H153" t="s">
        <v>530</v>
      </c>
      <c r="I153" t="s">
        <v>531</v>
      </c>
      <c r="K153">
        <v>11</v>
      </c>
      <c r="L153">
        <v>2526</v>
      </c>
    </row>
    <row r="154" spans="1:12" x14ac:dyDescent="0.2">
      <c r="A154">
        <v>2025</v>
      </c>
      <c r="B154">
        <v>36203</v>
      </c>
      <c r="C154" t="s">
        <v>723</v>
      </c>
      <c r="D154">
        <v>200</v>
      </c>
      <c r="E154" t="s">
        <v>724</v>
      </c>
      <c r="F154" s="1">
        <v>45856</v>
      </c>
      <c r="G154" s="1">
        <v>45857</v>
      </c>
      <c r="H154" t="s">
        <v>725</v>
      </c>
      <c r="I154" t="s">
        <v>722</v>
      </c>
      <c r="K154">
        <v>11</v>
      </c>
      <c r="L154">
        <v>2526</v>
      </c>
    </row>
    <row r="155" spans="1:12" x14ac:dyDescent="0.2">
      <c r="A155">
        <v>2025</v>
      </c>
      <c r="B155">
        <v>35774</v>
      </c>
      <c r="C155" t="s">
        <v>293</v>
      </c>
      <c r="D155">
        <v>200</v>
      </c>
      <c r="E155" t="s">
        <v>294</v>
      </c>
      <c r="F155" s="1">
        <v>45857</v>
      </c>
      <c r="G155" s="1">
        <v>45858</v>
      </c>
      <c r="H155" t="s">
        <v>295</v>
      </c>
      <c r="I155" t="s">
        <v>296</v>
      </c>
      <c r="K155">
        <v>11</v>
      </c>
      <c r="L155">
        <v>2526</v>
      </c>
    </row>
    <row r="156" spans="1:12" x14ac:dyDescent="0.2">
      <c r="A156">
        <v>2025</v>
      </c>
      <c r="B156">
        <v>35828</v>
      </c>
      <c r="C156" t="s">
        <v>382</v>
      </c>
      <c r="D156">
        <v>200</v>
      </c>
      <c r="E156" t="s">
        <v>383</v>
      </c>
      <c r="F156" s="1">
        <v>45857</v>
      </c>
      <c r="G156" s="1">
        <v>45858</v>
      </c>
      <c r="H156" t="s">
        <v>384</v>
      </c>
      <c r="I156" t="s">
        <v>381</v>
      </c>
      <c r="K156">
        <v>11</v>
      </c>
      <c r="L156">
        <v>2526</v>
      </c>
    </row>
    <row r="157" spans="1:12" x14ac:dyDescent="0.2">
      <c r="A157">
        <v>2025</v>
      </c>
      <c r="B157">
        <v>35981</v>
      </c>
      <c r="C157" t="s">
        <v>571</v>
      </c>
      <c r="D157">
        <v>200</v>
      </c>
      <c r="E157" t="s">
        <v>572</v>
      </c>
      <c r="F157" s="1">
        <v>45857</v>
      </c>
      <c r="G157" s="1">
        <v>45858</v>
      </c>
      <c r="H157" t="s">
        <v>573</v>
      </c>
      <c r="I157" t="s">
        <v>574</v>
      </c>
      <c r="K157">
        <v>11</v>
      </c>
      <c r="L157">
        <v>2526</v>
      </c>
    </row>
    <row r="158" spans="1:12" x14ac:dyDescent="0.2">
      <c r="A158">
        <v>2025</v>
      </c>
      <c r="B158">
        <v>36133</v>
      </c>
      <c r="C158" t="s">
        <v>658</v>
      </c>
      <c r="D158">
        <v>200</v>
      </c>
      <c r="E158" t="s">
        <v>659</v>
      </c>
      <c r="F158" s="1">
        <v>45857</v>
      </c>
      <c r="G158" s="1">
        <v>45858</v>
      </c>
      <c r="H158" t="s">
        <v>660</v>
      </c>
      <c r="I158" t="s">
        <v>661</v>
      </c>
      <c r="K158">
        <v>11</v>
      </c>
      <c r="L158">
        <v>2526</v>
      </c>
    </row>
    <row r="159" spans="1:12" x14ac:dyDescent="0.2">
      <c r="A159">
        <v>2025</v>
      </c>
      <c r="B159">
        <v>36151</v>
      </c>
      <c r="C159" t="s">
        <v>671</v>
      </c>
      <c r="D159">
        <v>200</v>
      </c>
      <c r="E159" t="s">
        <v>672</v>
      </c>
      <c r="F159" s="1">
        <v>45863</v>
      </c>
      <c r="G159" s="1">
        <v>45865</v>
      </c>
      <c r="H159" t="s">
        <v>41</v>
      </c>
      <c r="I159" t="s">
        <v>673</v>
      </c>
      <c r="K159">
        <v>11</v>
      </c>
      <c r="L159">
        <v>2526</v>
      </c>
    </row>
    <row r="160" spans="1:12" x14ac:dyDescent="0.2">
      <c r="A160">
        <v>2025</v>
      </c>
      <c r="B160">
        <v>36314</v>
      </c>
      <c r="C160" t="s">
        <v>825</v>
      </c>
      <c r="D160">
        <v>200</v>
      </c>
      <c r="E160" t="s">
        <v>826</v>
      </c>
      <c r="F160" s="1">
        <v>45863</v>
      </c>
      <c r="G160" s="1">
        <v>45864</v>
      </c>
      <c r="H160" t="s">
        <v>827</v>
      </c>
      <c r="I160" t="s">
        <v>828</v>
      </c>
      <c r="K160">
        <v>11</v>
      </c>
      <c r="L160">
        <v>2526</v>
      </c>
    </row>
    <row r="161" spans="1:12" x14ac:dyDescent="0.2">
      <c r="A161">
        <v>2025</v>
      </c>
      <c r="B161">
        <v>36292</v>
      </c>
      <c r="C161" t="s">
        <v>805</v>
      </c>
      <c r="D161">
        <v>200</v>
      </c>
      <c r="E161" t="s">
        <v>806</v>
      </c>
      <c r="F161" s="1">
        <v>45866</v>
      </c>
      <c r="G161" s="1">
        <v>45871</v>
      </c>
      <c r="H161" t="s">
        <v>807</v>
      </c>
      <c r="I161" t="s">
        <v>804</v>
      </c>
      <c r="K161">
        <v>11</v>
      </c>
      <c r="L161">
        <v>2526</v>
      </c>
    </row>
    <row r="162" spans="1:12" x14ac:dyDescent="0.2">
      <c r="A162">
        <v>2025</v>
      </c>
      <c r="B162">
        <v>36221</v>
      </c>
      <c r="C162" t="s">
        <v>741</v>
      </c>
      <c r="D162">
        <v>200</v>
      </c>
      <c r="E162" t="s">
        <v>742</v>
      </c>
      <c r="F162" s="1">
        <v>45867</v>
      </c>
      <c r="G162" s="1">
        <v>45872</v>
      </c>
      <c r="H162" t="s">
        <v>155</v>
      </c>
      <c r="I162" t="s">
        <v>740</v>
      </c>
      <c r="K162">
        <v>11</v>
      </c>
      <c r="L162">
        <v>2526</v>
      </c>
    </row>
    <row r="163" spans="1:12" x14ac:dyDescent="0.2">
      <c r="A163">
        <v>2025</v>
      </c>
      <c r="B163">
        <v>36226</v>
      </c>
      <c r="C163" t="s">
        <v>749</v>
      </c>
      <c r="D163">
        <v>200</v>
      </c>
      <c r="E163" t="s">
        <v>750</v>
      </c>
      <c r="F163" s="1">
        <v>45870</v>
      </c>
      <c r="G163" s="1">
        <v>45872</v>
      </c>
      <c r="H163" t="s">
        <v>59</v>
      </c>
      <c r="I163" t="s">
        <v>748</v>
      </c>
      <c r="K163">
        <v>11</v>
      </c>
      <c r="L163">
        <v>2526</v>
      </c>
    </row>
    <row r="164" spans="1:12" x14ac:dyDescent="0.2">
      <c r="A164">
        <v>2025</v>
      </c>
      <c r="B164">
        <v>36303</v>
      </c>
      <c r="C164" t="s">
        <v>816</v>
      </c>
      <c r="D164">
        <v>200</v>
      </c>
      <c r="E164" t="s">
        <v>817</v>
      </c>
      <c r="F164" s="1">
        <v>45870</v>
      </c>
      <c r="G164" s="1">
        <v>45872</v>
      </c>
      <c r="H164" t="s">
        <v>289</v>
      </c>
      <c r="I164" t="s">
        <v>818</v>
      </c>
      <c r="K164">
        <v>11</v>
      </c>
      <c r="L164">
        <v>2526</v>
      </c>
    </row>
    <row r="165" spans="1:12" x14ac:dyDescent="0.2">
      <c r="A165">
        <v>2025</v>
      </c>
      <c r="B165">
        <v>36291</v>
      </c>
      <c r="C165" t="s">
        <v>801</v>
      </c>
      <c r="D165">
        <v>200</v>
      </c>
      <c r="E165" t="s">
        <v>802</v>
      </c>
      <c r="F165" s="1">
        <v>45871</v>
      </c>
      <c r="G165" s="1">
        <v>45871</v>
      </c>
      <c r="H165" t="s">
        <v>803</v>
      </c>
      <c r="I165" t="s">
        <v>804</v>
      </c>
      <c r="K165">
        <v>11</v>
      </c>
      <c r="L165">
        <v>2526</v>
      </c>
    </row>
    <row r="166" spans="1:12" x14ac:dyDescent="0.2">
      <c r="A166">
        <v>2025</v>
      </c>
      <c r="B166">
        <v>35870</v>
      </c>
      <c r="C166" t="s">
        <v>441</v>
      </c>
      <c r="D166">
        <v>200</v>
      </c>
      <c r="E166" t="s">
        <v>442</v>
      </c>
      <c r="F166" s="1">
        <v>45875</v>
      </c>
      <c r="G166" s="1">
        <v>45879</v>
      </c>
      <c r="H166" t="s">
        <v>443</v>
      </c>
      <c r="I166" t="s">
        <v>440</v>
      </c>
      <c r="K166">
        <v>11</v>
      </c>
      <c r="L166">
        <v>2526</v>
      </c>
    </row>
    <row r="167" spans="1:12" x14ac:dyDescent="0.2">
      <c r="A167">
        <v>2025</v>
      </c>
      <c r="B167">
        <v>35637</v>
      </c>
      <c r="C167" t="s">
        <v>115</v>
      </c>
      <c r="D167">
        <v>200</v>
      </c>
      <c r="E167" t="s">
        <v>116</v>
      </c>
      <c r="F167" s="1">
        <v>45876</v>
      </c>
      <c r="G167" s="1">
        <v>45879</v>
      </c>
      <c r="H167" t="s">
        <v>117</v>
      </c>
      <c r="I167" t="s">
        <v>118</v>
      </c>
      <c r="K167">
        <v>11</v>
      </c>
      <c r="L167">
        <v>2526</v>
      </c>
    </row>
    <row r="168" spans="1:12" x14ac:dyDescent="0.2">
      <c r="A168">
        <v>2025</v>
      </c>
      <c r="B168">
        <v>36163</v>
      </c>
      <c r="C168" t="s">
        <v>680</v>
      </c>
      <c r="D168">
        <v>200</v>
      </c>
      <c r="E168" t="s">
        <v>681</v>
      </c>
      <c r="F168" s="1">
        <v>45876</v>
      </c>
      <c r="G168" s="1">
        <v>9352</v>
      </c>
      <c r="H168" t="s">
        <v>682</v>
      </c>
      <c r="I168" t="s">
        <v>683</v>
      </c>
      <c r="K168">
        <v>11</v>
      </c>
      <c r="L168">
        <v>2526</v>
      </c>
    </row>
    <row r="169" spans="1:12" x14ac:dyDescent="0.2">
      <c r="A169">
        <v>2025</v>
      </c>
      <c r="B169">
        <v>36280</v>
      </c>
      <c r="C169" t="s">
        <v>780</v>
      </c>
      <c r="D169">
        <v>200</v>
      </c>
      <c r="E169" t="s">
        <v>781</v>
      </c>
      <c r="F169" s="1">
        <v>45877</v>
      </c>
      <c r="G169" s="1">
        <v>45878</v>
      </c>
      <c r="H169" t="s">
        <v>782</v>
      </c>
      <c r="I169" t="s">
        <v>783</v>
      </c>
      <c r="K169">
        <v>11</v>
      </c>
      <c r="L169">
        <v>2526</v>
      </c>
    </row>
    <row r="170" spans="1:12" x14ac:dyDescent="0.2">
      <c r="A170">
        <v>2025</v>
      </c>
      <c r="B170">
        <v>36184</v>
      </c>
      <c r="C170" t="s">
        <v>705</v>
      </c>
      <c r="D170">
        <v>200</v>
      </c>
      <c r="E170" t="s">
        <v>706</v>
      </c>
      <c r="F170" s="1">
        <v>45878</v>
      </c>
      <c r="G170" s="1">
        <v>45879</v>
      </c>
      <c r="H170" t="s">
        <v>707</v>
      </c>
      <c r="I170" t="s">
        <v>702</v>
      </c>
      <c r="K170">
        <v>11</v>
      </c>
      <c r="L170">
        <v>2526</v>
      </c>
    </row>
    <row r="171" spans="1:12" x14ac:dyDescent="0.2">
      <c r="A171">
        <v>2025</v>
      </c>
      <c r="B171">
        <v>35894</v>
      </c>
      <c r="C171" t="s">
        <v>488</v>
      </c>
      <c r="D171">
        <v>200</v>
      </c>
      <c r="E171" t="s">
        <v>489</v>
      </c>
      <c r="F171" s="1">
        <v>45883</v>
      </c>
      <c r="G171" s="1">
        <v>45886</v>
      </c>
      <c r="H171" t="s">
        <v>35</v>
      </c>
      <c r="I171" t="s">
        <v>490</v>
      </c>
      <c r="K171">
        <v>11</v>
      </c>
      <c r="L171">
        <v>2526</v>
      </c>
    </row>
    <row r="172" spans="1:12" x14ac:dyDescent="0.2">
      <c r="A172">
        <v>2025</v>
      </c>
      <c r="B172">
        <v>35712</v>
      </c>
      <c r="C172" t="s">
        <v>157</v>
      </c>
      <c r="D172">
        <v>200</v>
      </c>
      <c r="E172" t="s">
        <v>158</v>
      </c>
      <c r="F172" s="1">
        <v>45884</v>
      </c>
      <c r="G172" s="1">
        <v>45886</v>
      </c>
      <c r="H172" t="s">
        <v>159</v>
      </c>
      <c r="I172" t="s">
        <v>160</v>
      </c>
      <c r="K172">
        <v>11</v>
      </c>
      <c r="L172">
        <v>2526</v>
      </c>
    </row>
    <row r="173" spans="1:12" x14ac:dyDescent="0.2">
      <c r="A173">
        <v>2025</v>
      </c>
      <c r="B173">
        <v>35848</v>
      </c>
      <c r="C173" t="s">
        <v>401</v>
      </c>
      <c r="D173">
        <v>200</v>
      </c>
      <c r="E173" t="s">
        <v>402</v>
      </c>
      <c r="F173" s="1">
        <v>45884</v>
      </c>
      <c r="G173" s="1">
        <v>45886</v>
      </c>
      <c r="H173" t="s">
        <v>329</v>
      </c>
      <c r="I173" t="s">
        <v>400</v>
      </c>
      <c r="K173">
        <v>11</v>
      </c>
      <c r="L173">
        <v>2526</v>
      </c>
    </row>
    <row r="174" spans="1:12" x14ac:dyDescent="0.2">
      <c r="A174">
        <v>2025</v>
      </c>
      <c r="B174">
        <v>36206</v>
      </c>
      <c r="C174" t="s">
        <v>726</v>
      </c>
      <c r="D174">
        <v>200</v>
      </c>
      <c r="E174" t="s">
        <v>727</v>
      </c>
      <c r="F174" s="1">
        <v>45884</v>
      </c>
      <c r="G174" s="1">
        <v>45886</v>
      </c>
      <c r="H174" t="s">
        <v>306</v>
      </c>
      <c r="I174" t="s">
        <v>728</v>
      </c>
      <c r="K174">
        <v>11</v>
      </c>
      <c r="L174">
        <v>2526</v>
      </c>
    </row>
    <row r="175" spans="1:12" x14ac:dyDescent="0.2">
      <c r="A175">
        <v>2025</v>
      </c>
      <c r="B175">
        <v>36305</v>
      </c>
      <c r="C175" t="s">
        <v>819</v>
      </c>
      <c r="D175">
        <v>200</v>
      </c>
      <c r="E175" t="s">
        <v>820</v>
      </c>
      <c r="F175" s="1">
        <v>45884</v>
      </c>
      <c r="G175" s="1">
        <v>45886</v>
      </c>
      <c r="H175" t="s">
        <v>821</v>
      </c>
      <c r="I175" t="s">
        <v>818</v>
      </c>
      <c r="K175">
        <v>11</v>
      </c>
      <c r="L175">
        <v>2526</v>
      </c>
    </row>
    <row r="176" spans="1:12" x14ac:dyDescent="0.2">
      <c r="A176">
        <v>2025</v>
      </c>
      <c r="B176">
        <v>36317</v>
      </c>
      <c r="C176" t="s">
        <v>831</v>
      </c>
      <c r="D176">
        <v>200</v>
      </c>
      <c r="E176" t="s">
        <v>832</v>
      </c>
      <c r="F176" s="1">
        <v>45885</v>
      </c>
      <c r="G176" s="1">
        <v>45886</v>
      </c>
      <c r="H176" t="s">
        <v>833</v>
      </c>
      <c r="I176" t="s">
        <v>834</v>
      </c>
      <c r="K176">
        <v>11</v>
      </c>
      <c r="L176">
        <v>2526</v>
      </c>
    </row>
    <row r="177" spans="1:12" x14ac:dyDescent="0.2">
      <c r="A177">
        <v>2025</v>
      </c>
      <c r="B177">
        <v>36352</v>
      </c>
      <c r="C177" t="s">
        <v>863</v>
      </c>
      <c r="D177">
        <v>200</v>
      </c>
      <c r="E177" t="s">
        <v>864</v>
      </c>
      <c r="F177" s="1">
        <v>45885</v>
      </c>
      <c r="G177" s="1">
        <v>45886</v>
      </c>
      <c r="H177" t="s">
        <v>833</v>
      </c>
      <c r="I177" t="s">
        <v>865</v>
      </c>
      <c r="K177">
        <v>11</v>
      </c>
      <c r="L177">
        <v>2526</v>
      </c>
    </row>
    <row r="178" spans="1:12" x14ac:dyDescent="0.2">
      <c r="A178">
        <v>2025</v>
      </c>
      <c r="B178">
        <v>36302</v>
      </c>
      <c r="C178" t="s">
        <v>814</v>
      </c>
      <c r="D178">
        <v>200</v>
      </c>
      <c r="E178" t="s">
        <v>815</v>
      </c>
      <c r="F178" s="1">
        <v>45888</v>
      </c>
      <c r="G178" s="1">
        <v>45893</v>
      </c>
      <c r="H178" t="s">
        <v>699</v>
      </c>
      <c r="I178" t="s">
        <v>813</v>
      </c>
      <c r="K178">
        <v>11</v>
      </c>
      <c r="L178">
        <v>2526</v>
      </c>
    </row>
    <row r="179" spans="1:12" x14ac:dyDescent="0.2">
      <c r="A179">
        <v>2025</v>
      </c>
      <c r="B179">
        <v>36192</v>
      </c>
      <c r="C179" t="s">
        <v>713</v>
      </c>
      <c r="D179">
        <v>200</v>
      </c>
      <c r="E179" t="s">
        <v>714</v>
      </c>
      <c r="F179" s="1">
        <v>45890</v>
      </c>
      <c r="G179" s="1">
        <v>45893</v>
      </c>
      <c r="H179" t="s">
        <v>48</v>
      </c>
      <c r="I179" t="s">
        <v>715</v>
      </c>
      <c r="K179">
        <v>11</v>
      </c>
      <c r="L179">
        <v>2526</v>
      </c>
    </row>
    <row r="180" spans="1:12" x14ac:dyDescent="0.2">
      <c r="A180">
        <v>2025</v>
      </c>
      <c r="B180">
        <v>36301</v>
      </c>
      <c r="C180" t="s">
        <v>811</v>
      </c>
      <c r="D180">
        <v>200</v>
      </c>
      <c r="E180" t="s">
        <v>812</v>
      </c>
      <c r="F180" s="1">
        <v>45890</v>
      </c>
      <c r="G180" s="1">
        <v>45893</v>
      </c>
      <c r="H180" t="s">
        <v>143</v>
      </c>
      <c r="I180" t="s">
        <v>813</v>
      </c>
      <c r="K180">
        <v>11</v>
      </c>
      <c r="L180">
        <v>2526</v>
      </c>
    </row>
    <row r="181" spans="1:12" x14ac:dyDescent="0.2">
      <c r="A181">
        <v>2025</v>
      </c>
      <c r="B181">
        <v>36244</v>
      </c>
      <c r="C181" t="s">
        <v>768</v>
      </c>
      <c r="D181">
        <v>200</v>
      </c>
      <c r="E181" t="s">
        <v>769</v>
      </c>
      <c r="F181" s="1">
        <v>45891</v>
      </c>
      <c r="G181" s="1">
        <v>45892</v>
      </c>
      <c r="H181" t="s">
        <v>770</v>
      </c>
      <c r="I181" t="s">
        <v>771</v>
      </c>
      <c r="K181">
        <v>11</v>
      </c>
      <c r="L181">
        <v>2526</v>
      </c>
    </row>
    <row r="182" spans="1:12" x14ac:dyDescent="0.2">
      <c r="A182">
        <v>2025</v>
      </c>
      <c r="B182">
        <v>36287</v>
      </c>
      <c r="C182" t="s">
        <v>792</v>
      </c>
      <c r="D182">
        <v>200</v>
      </c>
      <c r="E182" t="s">
        <v>793</v>
      </c>
      <c r="F182" s="1">
        <v>45891</v>
      </c>
      <c r="G182" s="1">
        <v>45893</v>
      </c>
      <c r="H182" t="s">
        <v>794</v>
      </c>
      <c r="I182" t="s">
        <v>787</v>
      </c>
      <c r="K182">
        <v>11</v>
      </c>
      <c r="L182">
        <v>2526</v>
      </c>
    </row>
    <row r="183" spans="1:12" x14ac:dyDescent="0.2">
      <c r="A183">
        <v>2025</v>
      </c>
      <c r="B183">
        <v>36343</v>
      </c>
      <c r="C183" t="s">
        <v>853</v>
      </c>
      <c r="D183">
        <v>200</v>
      </c>
      <c r="E183" t="s">
        <v>854</v>
      </c>
      <c r="F183" s="1">
        <v>45892</v>
      </c>
      <c r="G183" s="1">
        <v>45892</v>
      </c>
      <c r="H183" t="s">
        <v>559</v>
      </c>
      <c r="I183" t="s">
        <v>855</v>
      </c>
      <c r="K183">
        <v>11</v>
      </c>
      <c r="L183">
        <v>2526</v>
      </c>
    </row>
    <row r="184" spans="1:12" x14ac:dyDescent="0.2">
      <c r="A184">
        <v>2025</v>
      </c>
      <c r="B184">
        <v>36351</v>
      </c>
      <c r="C184" t="s">
        <v>859</v>
      </c>
      <c r="D184">
        <v>200</v>
      </c>
      <c r="E184" t="s">
        <v>860</v>
      </c>
      <c r="F184" s="1">
        <v>45892</v>
      </c>
      <c r="G184" s="1">
        <v>45893</v>
      </c>
      <c r="H184" t="s">
        <v>861</v>
      </c>
      <c r="I184" t="s">
        <v>862</v>
      </c>
      <c r="K184">
        <v>11</v>
      </c>
      <c r="L184">
        <v>2526</v>
      </c>
    </row>
    <row r="185" spans="1:12" x14ac:dyDescent="0.2">
      <c r="A185">
        <v>2025</v>
      </c>
      <c r="B185">
        <v>36186</v>
      </c>
      <c r="C185" t="s">
        <v>711</v>
      </c>
      <c r="D185">
        <v>200</v>
      </c>
      <c r="E185" t="s">
        <v>712</v>
      </c>
      <c r="F185" s="1">
        <v>45898</v>
      </c>
      <c r="G185" s="1">
        <v>45900</v>
      </c>
      <c r="H185" t="s">
        <v>38</v>
      </c>
      <c r="I185" t="s">
        <v>710</v>
      </c>
      <c r="K185">
        <v>11</v>
      </c>
      <c r="L185">
        <v>2526</v>
      </c>
    </row>
    <row r="186" spans="1:12" x14ac:dyDescent="0.2">
      <c r="A186">
        <v>2025</v>
      </c>
      <c r="B186">
        <v>36228</v>
      </c>
      <c r="C186" t="s">
        <v>755</v>
      </c>
      <c r="D186">
        <v>200</v>
      </c>
      <c r="E186" t="s">
        <v>756</v>
      </c>
      <c r="F186" s="1">
        <v>45898</v>
      </c>
      <c r="G186" s="1">
        <v>45901</v>
      </c>
      <c r="H186" t="s">
        <v>415</v>
      </c>
      <c r="I186" t="s">
        <v>754</v>
      </c>
      <c r="K186">
        <v>11</v>
      </c>
      <c r="L186">
        <v>2526</v>
      </c>
    </row>
    <row r="187" spans="1:12" x14ac:dyDescent="0.2">
      <c r="A187">
        <v>2025</v>
      </c>
      <c r="B187">
        <v>36284</v>
      </c>
      <c r="C187" t="s">
        <v>784</v>
      </c>
      <c r="D187">
        <v>200</v>
      </c>
      <c r="E187" t="s">
        <v>785</v>
      </c>
      <c r="F187" s="1">
        <v>45899</v>
      </c>
      <c r="G187" s="1">
        <v>45899</v>
      </c>
      <c r="H187" t="s">
        <v>786</v>
      </c>
      <c r="I187" t="s">
        <v>787</v>
      </c>
      <c r="K187">
        <v>11</v>
      </c>
      <c r="L187">
        <v>2526</v>
      </c>
    </row>
    <row r="188" spans="1:12" x14ac:dyDescent="0.2">
      <c r="A188">
        <v>2025</v>
      </c>
      <c r="B188">
        <v>36285</v>
      </c>
      <c r="C188" t="s">
        <v>788</v>
      </c>
      <c r="D188">
        <v>200</v>
      </c>
      <c r="E188" t="s">
        <v>789</v>
      </c>
      <c r="F188" s="1">
        <v>45903</v>
      </c>
      <c r="G188" s="1">
        <v>45907</v>
      </c>
      <c r="H188" t="s">
        <v>610</v>
      </c>
      <c r="I188" t="s">
        <v>787</v>
      </c>
      <c r="K188">
        <v>11</v>
      </c>
      <c r="L188">
        <v>2526</v>
      </c>
    </row>
    <row r="189" spans="1:12" x14ac:dyDescent="0.2">
      <c r="A189">
        <v>2025</v>
      </c>
      <c r="B189">
        <v>36155</v>
      </c>
      <c r="C189" t="s">
        <v>677</v>
      </c>
      <c r="D189">
        <v>200</v>
      </c>
      <c r="E189" t="s">
        <v>678</v>
      </c>
      <c r="F189" s="1">
        <v>45904</v>
      </c>
      <c r="G189" s="1">
        <v>45907</v>
      </c>
      <c r="H189" t="s">
        <v>59</v>
      </c>
      <c r="I189" t="s">
        <v>679</v>
      </c>
      <c r="K189">
        <v>11</v>
      </c>
      <c r="L189">
        <v>2526</v>
      </c>
    </row>
    <row r="190" spans="1:12" x14ac:dyDescent="0.2">
      <c r="A190">
        <v>2025</v>
      </c>
      <c r="B190">
        <v>35889</v>
      </c>
      <c r="C190" t="s">
        <v>478</v>
      </c>
      <c r="D190">
        <v>200</v>
      </c>
      <c r="E190" t="s">
        <v>479</v>
      </c>
      <c r="F190" s="1">
        <v>45905</v>
      </c>
      <c r="G190" s="1">
        <v>45906</v>
      </c>
      <c r="H190" t="s">
        <v>12</v>
      </c>
      <c r="I190" t="s">
        <v>477</v>
      </c>
      <c r="K190">
        <v>11</v>
      </c>
      <c r="L190">
        <v>2526</v>
      </c>
    </row>
    <row r="191" spans="1:12" x14ac:dyDescent="0.2">
      <c r="A191">
        <v>2025</v>
      </c>
      <c r="B191">
        <v>36227</v>
      </c>
      <c r="C191" t="s">
        <v>751</v>
      </c>
      <c r="D191">
        <v>200</v>
      </c>
      <c r="E191" t="s">
        <v>752</v>
      </c>
      <c r="F191" s="1">
        <v>45905</v>
      </c>
      <c r="G191" s="1">
        <v>45907</v>
      </c>
      <c r="H191" t="s">
        <v>753</v>
      </c>
      <c r="I191" t="s">
        <v>754</v>
      </c>
      <c r="K191">
        <v>11</v>
      </c>
      <c r="L191">
        <v>2526</v>
      </c>
    </row>
    <row r="192" spans="1:12" x14ac:dyDescent="0.2">
      <c r="A192">
        <v>2025</v>
      </c>
      <c r="B192">
        <v>35906</v>
      </c>
      <c r="C192" t="s">
        <v>509</v>
      </c>
      <c r="D192">
        <v>200</v>
      </c>
      <c r="E192" t="s">
        <v>510</v>
      </c>
      <c r="F192" s="1">
        <v>45906</v>
      </c>
      <c r="G192" s="1">
        <v>45907</v>
      </c>
      <c r="H192" t="s">
        <v>511</v>
      </c>
      <c r="I192" t="s">
        <v>512</v>
      </c>
      <c r="K192">
        <v>11</v>
      </c>
      <c r="L192">
        <v>2526</v>
      </c>
    </row>
    <row r="193" spans="1:12" x14ac:dyDescent="0.2">
      <c r="A193">
        <v>2025</v>
      </c>
      <c r="B193">
        <v>35930</v>
      </c>
      <c r="C193" t="s">
        <v>540</v>
      </c>
      <c r="D193">
        <v>200</v>
      </c>
      <c r="E193" t="s">
        <v>541</v>
      </c>
      <c r="F193" s="1">
        <v>45910</v>
      </c>
      <c r="G193" s="1">
        <v>45914</v>
      </c>
      <c r="H193" t="s">
        <v>542</v>
      </c>
      <c r="I193" t="s">
        <v>539</v>
      </c>
      <c r="K193">
        <v>11</v>
      </c>
      <c r="L193">
        <v>2526</v>
      </c>
    </row>
    <row r="194" spans="1:12" x14ac:dyDescent="0.2">
      <c r="A194">
        <v>2025</v>
      </c>
      <c r="B194">
        <v>35654</v>
      </c>
      <c r="C194" t="s">
        <v>128</v>
      </c>
      <c r="D194">
        <v>200</v>
      </c>
      <c r="E194" t="s">
        <v>129</v>
      </c>
      <c r="F194" s="1">
        <v>45911</v>
      </c>
      <c r="G194" s="1">
        <v>45914</v>
      </c>
      <c r="H194" t="s">
        <v>130</v>
      </c>
      <c r="I194" t="s">
        <v>127</v>
      </c>
      <c r="K194">
        <v>11</v>
      </c>
      <c r="L194">
        <v>2526</v>
      </c>
    </row>
    <row r="195" spans="1:12" x14ac:dyDescent="0.2">
      <c r="A195">
        <v>2025</v>
      </c>
      <c r="B195">
        <v>36230</v>
      </c>
      <c r="C195" t="s">
        <v>759</v>
      </c>
      <c r="D195">
        <v>200</v>
      </c>
      <c r="E195" t="s">
        <v>760</v>
      </c>
      <c r="F195" s="1">
        <v>45912</v>
      </c>
      <c r="G195" s="1">
        <v>45914</v>
      </c>
      <c r="H195" t="s">
        <v>761</v>
      </c>
      <c r="I195" t="s">
        <v>754</v>
      </c>
      <c r="K195">
        <v>11</v>
      </c>
      <c r="L195">
        <v>2526</v>
      </c>
    </row>
    <row r="196" spans="1:12" x14ac:dyDescent="0.2">
      <c r="A196">
        <v>2025</v>
      </c>
      <c r="B196">
        <v>36295</v>
      </c>
      <c r="C196" t="s">
        <v>808</v>
      </c>
      <c r="D196">
        <v>200</v>
      </c>
      <c r="E196" t="s">
        <v>809</v>
      </c>
      <c r="F196" s="1">
        <v>45912</v>
      </c>
      <c r="G196" s="1">
        <v>45914</v>
      </c>
      <c r="H196" t="s">
        <v>113</v>
      </c>
      <c r="I196" t="s">
        <v>810</v>
      </c>
      <c r="K196">
        <v>11</v>
      </c>
      <c r="L196">
        <v>2526</v>
      </c>
    </row>
    <row r="197" spans="1:12" x14ac:dyDescent="0.2">
      <c r="A197">
        <v>2025</v>
      </c>
      <c r="B197">
        <v>36250</v>
      </c>
      <c r="C197" t="s">
        <v>772</v>
      </c>
      <c r="D197">
        <v>200</v>
      </c>
      <c r="E197" t="s">
        <v>773</v>
      </c>
      <c r="F197" s="1">
        <v>45918</v>
      </c>
      <c r="G197" s="1">
        <v>45921</v>
      </c>
      <c r="H197" t="s">
        <v>370</v>
      </c>
      <c r="I197" t="s">
        <v>774</v>
      </c>
      <c r="K197">
        <v>11</v>
      </c>
      <c r="L197">
        <v>2526</v>
      </c>
    </row>
    <row r="198" spans="1:12" x14ac:dyDescent="0.2">
      <c r="A198">
        <v>2025</v>
      </c>
      <c r="B198">
        <v>36315</v>
      </c>
      <c r="C198" t="s">
        <v>829</v>
      </c>
      <c r="D198">
        <v>200</v>
      </c>
      <c r="E198" t="s">
        <v>830</v>
      </c>
      <c r="F198" s="1">
        <v>45918</v>
      </c>
      <c r="G198" s="1">
        <v>45921</v>
      </c>
      <c r="H198" t="s">
        <v>393</v>
      </c>
      <c r="I198" t="s">
        <v>828</v>
      </c>
      <c r="K198">
        <v>11</v>
      </c>
      <c r="L198">
        <v>2526</v>
      </c>
    </row>
    <row r="199" spans="1:12" x14ac:dyDescent="0.2">
      <c r="A199">
        <v>2025</v>
      </c>
      <c r="B199">
        <v>35725</v>
      </c>
      <c r="C199" t="s">
        <v>189</v>
      </c>
      <c r="D199">
        <v>200</v>
      </c>
      <c r="E199" t="s">
        <v>190</v>
      </c>
      <c r="F199" s="1">
        <v>45919</v>
      </c>
      <c r="G199" s="1">
        <v>45921</v>
      </c>
      <c r="H199" t="s">
        <v>191</v>
      </c>
      <c r="I199" t="s">
        <v>188</v>
      </c>
      <c r="K199">
        <v>11</v>
      </c>
      <c r="L199">
        <v>2526</v>
      </c>
    </row>
    <row r="200" spans="1:12" x14ac:dyDescent="0.2">
      <c r="A200">
        <v>2025</v>
      </c>
      <c r="B200">
        <v>36098</v>
      </c>
      <c r="C200" t="s">
        <v>634</v>
      </c>
      <c r="D200">
        <v>200</v>
      </c>
      <c r="E200" t="s">
        <v>635</v>
      </c>
      <c r="F200" s="1">
        <v>45919</v>
      </c>
      <c r="G200" s="1">
        <v>45921</v>
      </c>
      <c r="H200" t="s">
        <v>636</v>
      </c>
      <c r="I200" t="s">
        <v>637</v>
      </c>
      <c r="K200">
        <v>11</v>
      </c>
      <c r="L200">
        <v>2526</v>
      </c>
    </row>
    <row r="201" spans="1:12" x14ac:dyDescent="0.2">
      <c r="A201">
        <v>2025</v>
      </c>
      <c r="B201">
        <v>36235</v>
      </c>
      <c r="C201" t="s">
        <v>762</v>
      </c>
      <c r="D201">
        <v>200</v>
      </c>
      <c r="E201" t="s">
        <v>763</v>
      </c>
      <c r="F201" s="1">
        <v>45919</v>
      </c>
      <c r="G201" s="1">
        <v>45921</v>
      </c>
      <c r="H201" t="s">
        <v>499</v>
      </c>
      <c r="I201" t="s">
        <v>764</v>
      </c>
      <c r="K201">
        <v>11</v>
      </c>
      <c r="L201">
        <v>2526</v>
      </c>
    </row>
    <row r="202" spans="1:12" x14ac:dyDescent="0.2">
      <c r="A202">
        <v>2025</v>
      </c>
      <c r="B202">
        <v>36324</v>
      </c>
      <c r="C202" t="s">
        <v>835</v>
      </c>
      <c r="D202">
        <v>200</v>
      </c>
      <c r="E202" t="s">
        <v>836</v>
      </c>
      <c r="F202" s="1">
        <v>45919</v>
      </c>
      <c r="G202" s="1">
        <v>45921</v>
      </c>
      <c r="H202" t="s">
        <v>837</v>
      </c>
      <c r="I202" t="s">
        <v>838</v>
      </c>
      <c r="K202">
        <v>11</v>
      </c>
      <c r="L202">
        <v>2526</v>
      </c>
    </row>
    <row r="203" spans="1:12" x14ac:dyDescent="0.2">
      <c r="A203">
        <v>2025</v>
      </c>
      <c r="B203">
        <v>36339</v>
      </c>
      <c r="C203" t="s">
        <v>849</v>
      </c>
      <c r="D203">
        <v>200</v>
      </c>
      <c r="E203" t="s">
        <v>850</v>
      </c>
      <c r="F203" s="1">
        <v>45926</v>
      </c>
      <c r="G203" s="1">
        <v>45928</v>
      </c>
      <c r="H203" t="s">
        <v>851</v>
      </c>
      <c r="I203" t="s">
        <v>852</v>
      </c>
      <c r="K203">
        <v>11</v>
      </c>
      <c r="L203">
        <v>2526</v>
      </c>
    </row>
    <row r="204" spans="1:12" x14ac:dyDescent="0.2">
      <c r="A204">
        <v>2025</v>
      </c>
      <c r="B204">
        <v>36360</v>
      </c>
      <c r="C204" t="s">
        <v>870</v>
      </c>
      <c r="D204">
        <v>200</v>
      </c>
      <c r="E204" t="s">
        <v>871</v>
      </c>
      <c r="F204" s="1">
        <v>45927</v>
      </c>
      <c r="G204" s="1">
        <v>45928</v>
      </c>
      <c r="H204" t="s">
        <v>20</v>
      </c>
      <c r="I204" t="s">
        <v>872</v>
      </c>
      <c r="K204">
        <v>11</v>
      </c>
      <c r="L204">
        <v>2526</v>
      </c>
    </row>
    <row r="205" spans="1:12" x14ac:dyDescent="0.2">
      <c r="A205">
        <v>2025</v>
      </c>
      <c r="B205">
        <v>36381</v>
      </c>
      <c r="C205" t="s">
        <v>895</v>
      </c>
      <c r="D205">
        <v>200</v>
      </c>
      <c r="E205" t="s">
        <v>896</v>
      </c>
      <c r="F205" s="1">
        <v>45927</v>
      </c>
      <c r="G205" s="1">
        <v>45927</v>
      </c>
      <c r="H205" t="s">
        <v>495</v>
      </c>
      <c r="I205" t="s">
        <v>894</v>
      </c>
      <c r="K205">
        <v>11</v>
      </c>
      <c r="L205">
        <v>2526</v>
      </c>
    </row>
    <row r="206" spans="1:12" x14ac:dyDescent="0.2">
      <c r="A206">
        <v>2025</v>
      </c>
      <c r="B206">
        <v>36216</v>
      </c>
      <c r="C206" t="s">
        <v>732</v>
      </c>
      <c r="D206">
        <v>200</v>
      </c>
      <c r="E206" t="s">
        <v>733</v>
      </c>
      <c r="F206" s="1">
        <v>45930</v>
      </c>
      <c r="G206" s="1">
        <v>45934</v>
      </c>
      <c r="H206" t="s">
        <v>232</v>
      </c>
      <c r="I206" t="s">
        <v>734</v>
      </c>
      <c r="K206">
        <v>11</v>
      </c>
      <c r="L206">
        <v>2526</v>
      </c>
    </row>
    <row r="207" spans="1:12" x14ac:dyDescent="0.2">
      <c r="A207">
        <v>2025</v>
      </c>
      <c r="B207">
        <v>35850</v>
      </c>
      <c r="C207" t="s">
        <v>403</v>
      </c>
      <c r="D207">
        <v>200</v>
      </c>
      <c r="E207" t="s">
        <v>404</v>
      </c>
      <c r="F207" s="1">
        <v>45933</v>
      </c>
      <c r="G207" s="1">
        <v>45935</v>
      </c>
      <c r="H207" t="s">
        <v>405</v>
      </c>
      <c r="I207" t="s">
        <v>400</v>
      </c>
      <c r="K207">
        <v>11</v>
      </c>
      <c r="L207">
        <v>2526</v>
      </c>
    </row>
    <row r="208" spans="1:12" x14ac:dyDescent="0.2">
      <c r="A208">
        <v>2025</v>
      </c>
      <c r="B208">
        <v>36330</v>
      </c>
      <c r="C208" t="s">
        <v>839</v>
      </c>
      <c r="D208">
        <v>200</v>
      </c>
      <c r="E208" t="s">
        <v>840</v>
      </c>
      <c r="F208" s="1">
        <v>45933</v>
      </c>
      <c r="G208" s="1">
        <v>45935</v>
      </c>
      <c r="H208" t="s">
        <v>137</v>
      </c>
      <c r="I208" t="s">
        <v>841</v>
      </c>
      <c r="K208">
        <v>11</v>
      </c>
      <c r="L208">
        <v>2526</v>
      </c>
    </row>
    <row r="209" spans="1:12" x14ac:dyDescent="0.2">
      <c r="A209">
        <v>2025</v>
      </c>
      <c r="B209">
        <v>36373</v>
      </c>
      <c r="C209" t="s">
        <v>883</v>
      </c>
      <c r="D209">
        <v>200</v>
      </c>
      <c r="E209" t="s">
        <v>884</v>
      </c>
      <c r="F209" s="1">
        <v>45933</v>
      </c>
      <c r="G209" s="1">
        <v>45935</v>
      </c>
      <c r="H209" t="s">
        <v>214</v>
      </c>
      <c r="I209" t="s">
        <v>885</v>
      </c>
      <c r="K209">
        <v>11</v>
      </c>
      <c r="L209">
        <v>2526</v>
      </c>
    </row>
    <row r="210" spans="1:12" x14ac:dyDescent="0.2">
      <c r="A210">
        <v>2025</v>
      </c>
      <c r="B210">
        <v>36396</v>
      </c>
      <c r="C210" t="s">
        <v>912</v>
      </c>
      <c r="D210">
        <v>200</v>
      </c>
      <c r="E210" t="s">
        <v>913</v>
      </c>
      <c r="F210" s="1">
        <v>45933</v>
      </c>
      <c r="G210" s="1">
        <v>45935</v>
      </c>
      <c r="H210" t="s">
        <v>214</v>
      </c>
      <c r="I210" t="s">
        <v>914</v>
      </c>
      <c r="K210">
        <v>11</v>
      </c>
      <c r="L210">
        <v>2526</v>
      </c>
    </row>
    <row r="211" spans="1:12" x14ac:dyDescent="0.2">
      <c r="A211">
        <v>2025</v>
      </c>
      <c r="B211">
        <v>35885</v>
      </c>
      <c r="C211" t="s">
        <v>471</v>
      </c>
      <c r="D211">
        <v>200</v>
      </c>
      <c r="E211" t="s">
        <v>472</v>
      </c>
      <c r="F211" s="1">
        <v>45940</v>
      </c>
      <c r="G211" s="1">
        <v>45942</v>
      </c>
      <c r="H211" t="s">
        <v>473</v>
      </c>
      <c r="I211" t="s">
        <v>470</v>
      </c>
      <c r="K211">
        <v>11</v>
      </c>
      <c r="L211">
        <v>2526</v>
      </c>
    </row>
    <row r="212" spans="1:12" x14ac:dyDescent="0.2">
      <c r="A212">
        <v>2025</v>
      </c>
      <c r="B212">
        <v>36413</v>
      </c>
      <c r="C212" t="s">
        <v>926</v>
      </c>
      <c r="D212">
        <v>200</v>
      </c>
      <c r="E212" t="s">
        <v>927</v>
      </c>
      <c r="F212" s="1">
        <v>45941</v>
      </c>
      <c r="G212" s="1">
        <v>45941</v>
      </c>
      <c r="H212" t="s">
        <v>928</v>
      </c>
      <c r="I212" t="s">
        <v>929</v>
      </c>
      <c r="K212">
        <v>11</v>
      </c>
      <c r="L212">
        <v>2526</v>
      </c>
    </row>
    <row r="213" spans="1:12" x14ac:dyDescent="0.2">
      <c r="A213">
        <v>2025</v>
      </c>
      <c r="B213">
        <v>36432</v>
      </c>
      <c r="C213" t="s">
        <v>933</v>
      </c>
      <c r="D213">
        <v>200</v>
      </c>
      <c r="E213" t="s">
        <v>934</v>
      </c>
      <c r="F213" s="1">
        <v>45941</v>
      </c>
      <c r="G213" s="1">
        <v>45941</v>
      </c>
      <c r="H213" t="s">
        <v>935</v>
      </c>
      <c r="I213" t="s">
        <v>936</v>
      </c>
      <c r="K213">
        <v>11</v>
      </c>
      <c r="L213">
        <v>2526</v>
      </c>
    </row>
    <row r="214" spans="1:12" x14ac:dyDescent="0.2">
      <c r="A214">
        <v>2025</v>
      </c>
      <c r="B214">
        <v>36390</v>
      </c>
      <c r="C214" t="s">
        <v>905</v>
      </c>
      <c r="D214">
        <v>200</v>
      </c>
      <c r="E214" t="s">
        <v>906</v>
      </c>
      <c r="F214" s="1">
        <v>45946</v>
      </c>
      <c r="G214" s="1">
        <v>45949</v>
      </c>
      <c r="H214" t="s">
        <v>907</v>
      </c>
      <c r="I214" t="s">
        <v>904</v>
      </c>
      <c r="K214">
        <v>11</v>
      </c>
      <c r="L214">
        <v>2526</v>
      </c>
    </row>
    <row r="215" spans="1:12" x14ac:dyDescent="0.2">
      <c r="A215">
        <v>2025</v>
      </c>
      <c r="B215">
        <v>36363</v>
      </c>
      <c r="C215" t="s">
        <v>873</v>
      </c>
      <c r="D215">
        <v>200</v>
      </c>
      <c r="E215" t="s">
        <v>874</v>
      </c>
      <c r="F215" s="1">
        <v>45954</v>
      </c>
      <c r="G215" s="1">
        <v>45955</v>
      </c>
      <c r="H215" t="s">
        <v>875</v>
      </c>
      <c r="I215" t="s">
        <v>876</v>
      </c>
      <c r="K215">
        <v>11</v>
      </c>
      <c r="L215">
        <v>2526</v>
      </c>
    </row>
    <row r="216" spans="1:12" x14ac:dyDescent="0.2">
      <c r="A216">
        <v>2025</v>
      </c>
      <c r="B216">
        <v>36392</v>
      </c>
      <c r="C216" t="s">
        <v>908</v>
      </c>
      <c r="D216">
        <v>200</v>
      </c>
      <c r="E216" t="s">
        <v>909</v>
      </c>
      <c r="F216" s="1">
        <v>45954</v>
      </c>
      <c r="G216" s="1">
        <v>45955</v>
      </c>
      <c r="H216" t="s">
        <v>910</v>
      </c>
      <c r="I216" t="s">
        <v>911</v>
      </c>
      <c r="K216">
        <v>11</v>
      </c>
      <c r="L216">
        <v>2526</v>
      </c>
    </row>
    <row r="217" spans="1:12" x14ac:dyDescent="0.2">
      <c r="A217">
        <v>2025</v>
      </c>
      <c r="B217">
        <v>36365</v>
      </c>
      <c r="C217" t="s">
        <v>877</v>
      </c>
      <c r="D217">
        <v>200</v>
      </c>
      <c r="E217" t="s">
        <v>878</v>
      </c>
      <c r="F217" s="1">
        <v>45955</v>
      </c>
      <c r="G217" s="1">
        <v>45956</v>
      </c>
      <c r="H217" t="s">
        <v>462</v>
      </c>
      <c r="I217" t="s">
        <v>879</v>
      </c>
      <c r="K217">
        <v>11</v>
      </c>
      <c r="L217">
        <v>2526</v>
      </c>
    </row>
    <row r="218" spans="1:12" x14ac:dyDescent="0.2">
      <c r="A218">
        <v>2025</v>
      </c>
      <c r="B218">
        <v>36389</v>
      </c>
      <c r="C218" t="s">
        <v>901</v>
      </c>
      <c r="D218">
        <v>200</v>
      </c>
      <c r="E218" t="s">
        <v>902</v>
      </c>
      <c r="F218" s="1">
        <v>45955</v>
      </c>
      <c r="G218" s="1">
        <v>45956</v>
      </c>
      <c r="H218" t="s">
        <v>903</v>
      </c>
      <c r="I218" t="s">
        <v>904</v>
      </c>
      <c r="K218">
        <v>11</v>
      </c>
      <c r="L218">
        <v>2526</v>
      </c>
    </row>
    <row r="219" spans="1:12" x14ac:dyDescent="0.2">
      <c r="A219">
        <v>2025</v>
      </c>
      <c r="B219">
        <v>36385</v>
      </c>
      <c r="C219" t="s">
        <v>897</v>
      </c>
      <c r="D219">
        <v>200</v>
      </c>
      <c r="E219" t="s">
        <v>898</v>
      </c>
      <c r="F219" s="1">
        <v>45956</v>
      </c>
      <c r="G219" s="1">
        <v>45956</v>
      </c>
      <c r="H219" t="s">
        <v>899</v>
      </c>
      <c r="I219" t="s">
        <v>900</v>
      </c>
      <c r="K219">
        <v>11</v>
      </c>
      <c r="L219">
        <v>2526</v>
      </c>
    </row>
    <row r="220" spans="1:12" x14ac:dyDescent="0.2">
      <c r="A220">
        <v>2025</v>
      </c>
      <c r="B220">
        <v>36492</v>
      </c>
      <c r="C220" t="s">
        <v>963</v>
      </c>
      <c r="D220">
        <v>200</v>
      </c>
      <c r="E220" t="s">
        <v>964</v>
      </c>
      <c r="F220" s="1">
        <v>45956</v>
      </c>
      <c r="G220" s="1">
        <v>45956</v>
      </c>
      <c r="H220" t="s">
        <v>965</v>
      </c>
      <c r="I220" t="s">
        <v>966</v>
      </c>
      <c r="K220">
        <v>11</v>
      </c>
      <c r="L220">
        <v>2526</v>
      </c>
    </row>
    <row r="221" spans="1:12" x14ac:dyDescent="0.2">
      <c r="A221">
        <v>2025</v>
      </c>
      <c r="B221">
        <v>36464</v>
      </c>
      <c r="C221" t="s">
        <v>957</v>
      </c>
      <c r="D221">
        <v>200</v>
      </c>
      <c r="E221" t="s">
        <v>958</v>
      </c>
      <c r="F221" s="1">
        <v>45961</v>
      </c>
      <c r="G221" s="1">
        <v>45963</v>
      </c>
      <c r="H221" t="s">
        <v>959</v>
      </c>
      <c r="I221" t="s">
        <v>956</v>
      </c>
      <c r="K221">
        <v>11</v>
      </c>
      <c r="L221">
        <v>2526</v>
      </c>
    </row>
    <row r="222" spans="1:12" x14ac:dyDescent="0.2">
      <c r="A222">
        <v>2025</v>
      </c>
      <c r="B222">
        <v>36336</v>
      </c>
      <c r="C222" t="s">
        <v>845</v>
      </c>
      <c r="D222">
        <v>200</v>
      </c>
      <c r="E222" t="s">
        <v>846</v>
      </c>
      <c r="F222" s="1">
        <v>45968</v>
      </c>
      <c r="G222" s="1">
        <v>45969</v>
      </c>
      <c r="H222" t="s">
        <v>847</v>
      </c>
      <c r="I222" t="s">
        <v>848</v>
      </c>
      <c r="K222">
        <v>11</v>
      </c>
      <c r="L222">
        <v>2526</v>
      </c>
    </row>
    <row r="223" spans="1:12" x14ac:dyDescent="0.2">
      <c r="A223">
        <v>2025</v>
      </c>
      <c r="B223">
        <v>36356</v>
      </c>
      <c r="C223" t="s">
        <v>868</v>
      </c>
      <c r="D223">
        <v>200</v>
      </c>
      <c r="E223" t="s">
        <v>869</v>
      </c>
      <c r="F223" s="1">
        <v>45968</v>
      </c>
      <c r="G223" s="1">
        <v>45969</v>
      </c>
      <c r="H223" t="s">
        <v>311</v>
      </c>
      <c r="I223" t="s">
        <v>865</v>
      </c>
      <c r="K223">
        <v>11</v>
      </c>
      <c r="L223">
        <v>2526</v>
      </c>
    </row>
    <row r="224" spans="1:12" x14ac:dyDescent="0.2">
      <c r="A224">
        <v>2025</v>
      </c>
      <c r="B224">
        <v>36588</v>
      </c>
      <c r="C224" t="s">
        <v>976</v>
      </c>
      <c r="D224">
        <v>200</v>
      </c>
      <c r="E224" t="s">
        <v>977</v>
      </c>
      <c r="F224" s="1">
        <v>45969</v>
      </c>
      <c r="G224" s="1">
        <v>45970</v>
      </c>
      <c r="H224" t="s">
        <v>345</v>
      </c>
      <c r="I224" t="s">
        <v>978</v>
      </c>
      <c r="K224">
        <v>11</v>
      </c>
      <c r="L224">
        <v>2526</v>
      </c>
    </row>
    <row r="225" spans="1:12" x14ac:dyDescent="0.2">
      <c r="A225">
        <v>2025</v>
      </c>
      <c r="B225">
        <v>36436</v>
      </c>
      <c r="C225" t="s">
        <v>937</v>
      </c>
      <c r="D225">
        <v>200</v>
      </c>
      <c r="E225" t="s">
        <v>938</v>
      </c>
      <c r="F225" s="1">
        <v>45975</v>
      </c>
      <c r="G225" s="1">
        <v>45977</v>
      </c>
      <c r="H225" t="s">
        <v>939</v>
      </c>
      <c r="I225" t="s">
        <v>940</v>
      </c>
      <c r="K225">
        <v>11</v>
      </c>
      <c r="L225">
        <v>2526</v>
      </c>
    </row>
    <row r="226" spans="1:12" x14ac:dyDescent="0.2">
      <c r="A226">
        <v>2025</v>
      </c>
      <c r="B226">
        <v>36332</v>
      </c>
      <c r="C226" t="s">
        <v>842</v>
      </c>
      <c r="D226">
        <v>200</v>
      </c>
      <c r="E226" t="s">
        <v>843</v>
      </c>
      <c r="F226" s="1">
        <v>45976</v>
      </c>
      <c r="G226" s="1">
        <v>45976</v>
      </c>
      <c r="H226" t="s">
        <v>844</v>
      </c>
      <c r="I226" t="s">
        <v>841</v>
      </c>
      <c r="K226">
        <v>11</v>
      </c>
      <c r="L226">
        <v>2526</v>
      </c>
    </row>
    <row r="227" spans="1:12" x14ac:dyDescent="0.2">
      <c r="A227">
        <v>2025</v>
      </c>
      <c r="B227">
        <v>36440</v>
      </c>
      <c r="C227" t="s">
        <v>941</v>
      </c>
      <c r="D227">
        <v>200</v>
      </c>
      <c r="E227" t="s">
        <v>942</v>
      </c>
      <c r="F227" s="1">
        <v>45977</v>
      </c>
      <c r="G227" s="1">
        <v>45977</v>
      </c>
      <c r="H227" t="s">
        <v>242</v>
      </c>
      <c r="I227" t="s">
        <v>943</v>
      </c>
      <c r="K227">
        <v>11</v>
      </c>
      <c r="L227">
        <v>2526</v>
      </c>
    </row>
    <row r="228" spans="1:12" x14ac:dyDescent="0.2">
      <c r="A228">
        <v>2025</v>
      </c>
      <c r="B228">
        <v>36456</v>
      </c>
      <c r="C228" t="s">
        <v>944</v>
      </c>
      <c r="D228">
        <v>200</v>
      </c>
      <c r="E228" t="s">
        <v>945</v>
      </c>
      <c r="F228" s="1">
        <v>45982</v>
      </c>
      <c r="G228" s="1">
        <v>45983</v>
      </c>
      <c r="H228" t="s">
        <v>946</v>
      </c>
      <c r="I228" t="s">
        <v>947</v>
      </c>
      <c r="K228">
        <v>11</v>
      </c>
      <c r="L228">
        <v>2526</v>
      </c>
    </row>
    <row r="229" spans="1:12" x14ac:dyDescent="0.2">
      <c r="A229">
        <v>2025</v>
      </c>
      <c r="B229">
        <v>36504</v>
      </c>
      <c r="C229" t="s">
        <v>970</v>
      </c>
      <c r="D229">
        <v>200</v>
      </c>
      <c r="E229" t="s">
        <v>971</v>
      </c>
      <c r="F229" s="1">
        <v>45983</v>
      </c>
      <c r="G229" s="1">
        <v>45984</v>
      </c>
      <c r="H229" t="s">
        <v>282</v>
      </c>
      <c r="I229" t="s">
        <v>972</v>
      </c>
      <c r="K229">
        <v>11</v>
      </c>
      <c r="L229">
        <v>2526</v>
      </c>
    </row>
    <row r="230" spans="1:12" x14ac:dyDescent="0.2">
      <c r="A230">
        <v>2025</v>
      </c>
      <c r="B230">
        <v>36623</v>
      </c>
      <c r="C230" t="s">
        <v>983</v>
      </c>
      <c r="D230">
        <v>200</v>
      </c>
      <c r="E230" t="s">
        <v>984</v>
      </c>
      <c r="F230" s="1">
        <v>45996</v>
      </c>
      <c r="G230" s="1">
        <v>45997</v>
      </c>
      <c r="H230" t="s">
        <v>985</v>
      </c>
      <c r="I230" t="s">
        <v>986</v>
      </c>
      <c r="K230">
        <v>11</v>
      </c>
      <c r="L230">
        <v>2526</v>
      </c>
    </row>
    <row r="231" spans="1:12" x14ac:dyDescent="0.2">
      <c r="A231">
        <v>2025</v>
      </c>
      <c r="B231">
        <v>36746</v>
      </c>
      <c r="C231" t="s">
        <v>994</v>
      </c>
      <c r="D231">
        <v>200</v>
      </c>
      <c r="E231" t="s">
        <v>995</v>
      </c>
      <c r="F231" s="1">
        <v>45997</v>
      </c>
      <c r="G231" s="1">
        <v>45998</v>
      </c>
      <c r="H231" t="s">
        <v>996</v>
      </c>
      <c r="I231" t="s">
        <v>997</v>
      </c>
      <c r="K231">
        <v>11</v>
      </c>
      <c r="L231">
        <v>2526</v>
      </c>
    </row>
    <row r="232" spans="1:12" x14ac:dyDescent="0.2">
      <c r="A232">
        <v>2025</v>
      </c>
      <c r="B232">
        <v>36617</v>
      </c>
      <c r="C232" t="s">
        <v>979</v>
      </c>
      <c r="D232">
        <v>200</v>
      </c>
      <c r="E232" t="s">
        <v>980</v>
      </c>
      <c r="F232" s="1">
        <v>45998</v>
      </c>
      <c r="G232" s="1">
        <v>45998</v>
      </c>
      <c r="H232" t="s">
        <v>981</v>
      </c>
      <c r="I232" t="s">
        <v>982</v>
      </c>
      <c r="K232">
        <v>11</v>
      </c>
      <c r="L232">
        <v>2526</v>
      </c>
    </row>
    <row r="233" spans="1:12" x14ac:dyDescent="0.2">
      <c r="A233">
        <v>2025</v>
      </c>
      <c r="B233">
        <v>36499</v>
      </c>
      <c r="C233" t="s">
        <v>967</v>
      </c>
      <c r="D233">
        <v>200</v>
      </c>
      <c r="E233" t="s">
        <v>968</v>
      </c>
      <c r="F233" s="1">
        <v>46018</v>
      </c>
      <c r="G233" s="1">
        <v>46018</v>
      </c>
      <c r="H233" t="s">
        <v>603</v>
      </c>
      <c r="I233" t="s">
        <v>969</v>
      </c>
      <c r="K233">
        <v>11</v>
      </c>
      <c r="L233">
        <v>2526</v>
      </c>
    </row>
    <row r="234" spans="1:12" x14ac:dyDescent="0.2">
      <c r="A234">
        <v>2025</v>
      </c>
      <c r="B234">
        <v>30917</v>
      </c>
      <c r="C234" t="s">
        <v>18</v>
      </c>
      <c r="D234">
        <v>200</v>
      </c>
      <c r="E234" t="s">
        <v>19</v>
      </c>
      <c r="F234" s="1">
        <v>45729</v>
      </c>
      <c r="G234" s="1">
        <v>45732</v>
      </c>
      <c r="H234" t="s">
        <v>20</v>
      </c>
      <c r="I234" t="s">
        <v>17</v>
      </c>
      <c r="K234">
        <v>13</v>
      </c>
      <c r="L234">
        <v>2425</v>
      </c>
    </row>
    <row r="235" spans="1:12" x14ac:dyDescent="0.2">
      <c r="A235">
        <v>2025</v>
      </c>
      <c r="B235">
        <v>30911</v>
      </c>
      <c r="C235" t="s">
        <v>10</v>
      </c>
      <c r="D235">
        <v>200</v>
      </c>
      <c r="E235" t="s">
        <v>11</v>
      </c>
      <c r="F235" s="1">
        <v>45730</v>
      </c>
      <c r="G235" s="1">
        <v>45732</v>
      </c>
      <c r="H235" t="s">
        <v>12</v>
      </c>
      <c r="I235" t="s">
        <v>13</v>
      </c>
      <c r="K235">
        <v>13</v>
      </c>
      <c r="L235">
        <v>2425</v>
      </c>
    </row>
    <row r="236" spans="1:12" x14ac:dyDescent="0.2">
      <c r="A236">
        <v>2025</v>
      </c>
      <c r="B236">
        <v>30914</v>
      </c>
      <c r="C236" t="s">
        <v>14</v>
      </c>
      <c r="D236">
        <v>200</v>
      </c>
      <c r="E236" t="s">
        <v>15</v>
      </c>
      <c r="F236" s="1">
        <v>45737</v>
      </c>
      <c r="G236" s="1">
        <v>45739</v>
      </c>
      <c r="H236" t="s">
        <v>16</v>
      </c>
      <c r="I236" t="s">
        <v>17</v>
      </c>
      <c r="K236">
        <v>13</v>
      </c>
      <c r="L236">
        <v>2425</v>
      </c>
    </row>
    <row r="237" spans="1:12" x14ac:dyDescent="0.2">
      <c r="A237">
        <v>2025</v>
      </c>
      <c r="B237">
        <v>30920</v>
      </c>
      <c r="C237" t="s">
        <v>21</v>
      </c>
      <c r="D237">
        <v>200</v>
      </c>
      <c r="E237" t="s">
        <v>22</v>
      </c>
      <c r="F237" s="1">
        <v>45747</v>
      </c>
      <c r="G237" s="1">
        <v>45752</v>
      </c>
      <c r="H237" t="s">
        <v>23</v>
      </c>
      <c r="I237" t="s">
        <v>24</v>
      </c>
      <c r="K237">
        <v>12</v>
      </c>
      <c r="L237">
        <v>2425</v>
      </c>
    </row>
    <row r="238" spans="1:12" x14ac:dyDescent="0.2">
      <c r="A238">
        <v>2025</v>
      </c>
      <c r="B238">
        <v>34272</v>
      </c>
      <c r="C238" t="s">
        <v>49</v>
      </c>
      <c r="D238">
        <v>200</v>
      </c>
      <c r="E238" t="s">
        <v>50</v>
      </c>
      <c r="F238" s="1">
        <v>45856</v>
      </c>
      <c r="G238" s="1">
        <v>45858</v>
      </c>
      <c r="H238" t="s">
        <v>51</v>
      </c>
      <c r="I238" t="s">
        <v>52</v>
      </c>
      <c r="K238">
        <v>14</v>
      </c>
      <c r="L238">
        <v>2526</v>
      </c>
    </row>
  </sheetData>
  <sortState xmlns:xlrd2="http://schemas.microsoft.com/office/spreadsheetml/2017/richdata2" ref="A2:L238">
    <sortCondition ref="K2:K23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03B80-4A12-FC44-9DD9-D950C6E2DCC7}">
  <sheetPr filterMode="1"/>
  <dimension ref="A1:K302"/>
  <sheetViews>
    <sheetView workbookViewId="0">
      <selection sqref="A1:J299"/>
    </sheetView>
  </sheetViews>
  <sheetFormatPr baseColWidth="10" defaultRowHeight="16" x14ac:dyDescent="0.2"/>
  <cols>
    <col min="5" max="5" width="46.1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2">
      <c r="A2">
        <v>2025</v>
      </c>
      <c r="B2">
        <v>30911</v>
      </c>
      <c r="C2" t="s">
        <v>10</v>
      </c>
      <c r="D2">
        <v>200</v>
      </c>
      <c r="E2" t="s">
        <v>11</v>
      </c>
      <c r="F2" s="1">
        <v>45730</v>
      </c>
      <c r="G2" s="1">
        <v>45732</v>
      </c>
      <c r="H2" t="s">
        <v>12</v>
      </c>
      <c r="I2" t="s">
        <v>13</v>
      </c>
      <c r="K2">
        <f>COUNTIF(Sheet1!A:A,'2025_discovered_ijs_competition'!B2)</f>
        <v>0</v>
      </c>
    </row>
    <row r="3" spans="1:11" x14ac:dyDescent="0.2">
      <c r="A3">
        <v>2025</v>
      </c>
      <c r="B3">
        <v>30914</v>
      </c>
      <c r="C3" t="s">
        <v>14</v>
      </c>
      <c r="D3">
        <v>200</v>
      </c>
      <c r="E3" t="s">
        <v>15</v>
      </c>
      <c r="F3" s="1">
        <v>45737</v>
      </c>
      <c r="G3" s="1">
        <v>45739</v>
      </c>
      <c r="H3" t="s">
        <v>16</v>
      </c>
      <c r="I3" t="s">
        <v>17</v>
      </c>
      <c r="K3">
        <f>COUNTIF(Sheet1!A:A,'2025_discovered_ijs_competition'!B3)</f>
        <v>0</v>
      </c>
    </row>
    <row r="4" spans="1:11" x14ac:dyDescent="0.2">
      <c r="A4">
        <v>2025</v>
      </c>
      <c r="B4">
        <v>30917</v>
      </c>
      <c r="C4" t="s">
        <v>18</v>
      </c>
      <c r="D4">
        <v>200</v>
      </c>
      <c r="E4" t="s">
        <v>19</v>
      </c>
      <c r="F4" s="1">
        <v>45729</v>
      </c>
      <c r="G4" s="1">
        <v>45732</v>
      </c>
      <c r="H4" t="s">
        <v>20</v>
      </c>
      <c r="I4" t="s">
        <v>17</v>
      </c>
      <c r="K4">
        <f>COUNTIF(Sheet1!A:A,'2025_discovered_ijs_competition'!B4)</f>
        <v>0</v>
      </c>
    </row>
    <row r="5" spans="1:11" x14ac:dyDescent="0.2">
      <c r="A5">
        <v>2025</v>
      </c>
      <c r="B5">
        <v>30920</v>
      </c>
      <c r="C5" t="s">
        <v>21</v>
      </c>
      <c r="D5">
        <v>200</v>
      </c>
      <c r="E5" t="s">
        <v>22</v>
      </c>
      <c r="F5" s="1">
        <v>45747</v>
      </c>
      <c r="G5" s="1">
        <v>45752</v>
      </c>
      <c r="H5" t="s">
        <v>23</v>
      </c>
      <c r="I5" t="s">
        <v>24</v>
      </c>
      <c r="K5">
        <f>COUNTIF(Sheet1!A:A,'2025_discovered_ijs_competition'!B5)</f>
        <v>0</v>
      </c>
    </row>
    <row r="6" spans="1:11" hidden="1" x14ac:dyDescent="0.2">
      <c r="A6">
        <v>2025</v>
      </c>
      <c r="B6">
        <v>34237</v>
      </c>
      <c r="C6" t="s">
        <v>25</v>
      </c>
      <c r="D6">
        <v>200</v>
      </c>
      <c r="E6" t="s">
        <v>26</v>
      </c>
      <c r="F6" s="1">
        <v>45713</v>
      </c>
      <c r="G6" s="1">
        <v>45717</v>
      </c>
      <c r="H6" t="s">
        <v>27</v>
      </c>
      <c r="I6" t="s">
        <v>28</v>
      </c>
      <c r="K6">
        <f>COUNTIF(Sheet1!A:A,'2025_discovered_ijs_competition'!B6)</f>
        <v>1</v>
      </c>
    </row>
    <row r="7" spans="1:11" hidden="1" x14ac:dyDescent="0.2">
      <c r="A7">
        <v>2025</v>
      </c>
      <c r="B7">
        <v>34239</v>
      </c>
      <c r="C7" t="s">
        <v>29</v>
      </c>
      <c r="D7">
        <v>200</v>
      </c>
      <c r="E7" t="s">
        <v>30</v>
      </c>
      <c r="F7" s="1">
        <v>45679</v>
      </c>
      <c r="G7" s="1">
        <v>45682</v>
      </c>
      <c r="H7" t="s">
        <v>31</v>
      </c>
      <c r="I7" t="s">
        <v>32</v>
      </c>
      <c r="K7">
        <f>COUNTIF(Sheet1!A:A,'2025_discovered_ijs_competition'!B7)</f>
        <v>1</v>
      </c>
    </row>
    <row r="8" spans="1:11" hidden="1" x14ac:dyDescent="0.2">
      <c r="A8">
        <v>2025</v>
      </c>
      <c r="B8">
        <v>34240</v>
      </c>
      <c r="C8" t="s">
        <v>33</v>
      </c>
      <c r="D8">
        <v>200</v>
      </c>
      <c r="E8" t="s">
        <v>34</v>
      </c>
      <c r="F8" s="1">
        <v>45686</v>
      </c>
      <c r="G8" s="1">
        <v>45689</v>
      </c>
      <c r="H8" t="s">
        <v>35</v>
      </c>
      <c r="I8" t="s">
        <v>32</v>
      </c>
      <c r="K8">
        <f>COUNTIF(Sheet1!A:A,'2025_discovered_ijs_competition'!B8)</f>
        <v>1</v>
      </c>
    </row>
    <row r="9" spans="1:11" hidden="1" x14ac:dyDescent="0.2">
      <c r="A9">
        <v>2025</v>
      </c>
      <c r="B9">
        <v>34241</v>
      </c>
      <c r="C9" t="s">
        <v>36</v>
      </c>
      <c r="D9">
        <v>200</v>
      </c>
      <c r="E9" t="s">
        <v>37</v>
      </c>
      <c r="F9" s="1">
        <v>45687</v>
      </c>
      <c r="G9" s="1">
        <v>45689</v>
      </c>
      <c r="H9" t="s">
        <v>38</v>
      </c>
      <c r="I9" t="s">
        <v>32</v>
      </c>
      <c r="K9">
        <f>COUNTIF(Sheet1!A:A,'2025_discovered_ijs_competition'!B9)</f>
        <v>1</v>
      </c>
    </row>
    <row r="10" spans="1:11" hidden="1" x14ac:dyDescent="0.2">
      <c r="A10">
        <v>2025</v>
      </c>
      <c r="B10">
        <v>34252</v>
      </c>
      <c r="C10" t="s">
        <v>39</v>
      </c>
      <c r="D10">
        <v>200</v>
      </c>
      <c r="E10" t="s">
        <v>40</v>
      </c>
      <c r="F10" s="1">
        <v>45971</v>
      </c>
      <c r="G10" s="1">
        <v>45977</v>
      </c>
      <c r="H10" t="s">
        <v>41</v>
      </c>
      <c r="I10" t="s">
        <v>42</v>
      </c>
      <c r="K10">
        <f>COUNTIF(Sheet1!A:A,'2025_discovered_ijs_competition'!B10)</f>
        <v>1</v>
      </c>
    </row>
    <row r="11" spans="1:11" hidden="1" x14ac:dyDescent="0.2">
      <c r="A11">
        <v>2025</v>
      </c>
      <c r="B11">
        <v>34253</v>
      </c>
      <c r="C11" t="s">
        <v>43</v>
      </c>
      <c r="D11">
        <v>200</v>
      </c>
      <c r="E11" t="s">
        <v>44</v>
      </c>
      <c r="F11" s="1">
        <v>45977</v>
      </c>
      <c r="G11" s="1">
        <v>45982</v>
      </c>
      <c r="H11" t="s">
        <v>45</v>
      </c>
      <c r="I11" t="s">
        <v>42</v>
      </c>
      <c r="K11">
        <f>COUNTIF(Sheet1!A:A,'2025_discovered_ijs_competition'!B11)</f>
        <v>1</v>
      </c>
    </row>
    <row r="12" spans="1:11" hidden="1" x14ac:dyDescent="0.2">
      <c r="A12">
        <v>2025</v>
      </c>
      <c r="B12">
        <v>34254</v>
      </c>
      <c r="C12" t="s">
        <v>46</v>
      </c>
      <c r="D12">
        <v>200</v>
      </c>
      <c r="E12" t="s">
        <v>47</v>
      </c>
      <c r="F12" s="1">
        <v>45963</v>
      </c>
      <c r="G12" s="1">
        <v>45967</v>
      </c>
      <c r="H12" t="s">
        <v>48</v>
      </c>
      <c r="I12" t="s">
        <v>42</v>
      </c>
      <c r="K12">
        <f>COUNTIF(Sheet1!A:A,'2025_discovered_ijs_competition'!B12)</f>
        <v>1</v>
      </c>
    </row>
    <row r="13" spans="1:11" x14ac:dyDescent="0.2">
      <c r="A13">
        <v>2025</v>
      </c>
      <c r="B13">
        <v>34272</v>
      </c>
      <c r="C13" t="s">
        <v>49</v>
      </c>
      <c r="D13">
        <v>200</v>
      </c>
      <c r="E13" t="s">
        <v>50</v>
      </c>
      <c r="F13" s="1">
        <v>45856</v>
      </c>
      <c r="G13" s="1">
        <v>45858</v>
      </c>
      <c r="H13" t="s">
        <v>51</v>
      </c>
      <c r="I13" t="s">
        <v>52</v>
      </c>
      <c r="K13">
        <f>COUNTIF(Sheet1!A:A,'2025_discovered_ijs_competition'!B13)</f>
        <v>0</v>
      </c>
    </row>
    <row r="14" spans="1:11" x14ac:dyDescent="0.2">
      <c r="A14">
        <v>2025</v>
      </c>
      <c r="B14">
        <v>34424</v>
      </c>
      <c r="C14" t="s">
        <v>53</v>
      </c>
      <c r="D14">
        <v>200</v>
      </c>
      <c r="E14" t="s">
        <v>54</v>
      </c>
      <c r="F14" s="1">
        <v>45750</v>
      </c>
      <c r="G14" s="1">
        <v>45753</v>
      </c>
      <c r="H14" t="s">
        <v>55</v>
      </c>
      <c r="I14" t="s">
        <v>56</v>
      </c>
      <c r="K14">
        <f>COUNTIF(Sheet1!A:A,'2025_discovered_ijs_competition'!B14)</f>
        <v>0</v>
      </c>
    </row>
    <row r="15" spans="1:11" hidden="1" x14ac:dyDescent="0.2">
      <c r="A15">
        <v>2025</v>
      </c>
      <c r="B15">
        <v>35103</v>
      </c>
      <c r="C15" t="s">
        <v>57</v>
      </c>
      <c r="D15">
        <v>200</v>
      </c>
      <c r="E15" t="s">
        <v>58</v>
      </c>
      <c r="F15" s="1">
        <v>45904</v>
      </c>
      <c r="G15" s="1">
        <v>45907</v>
      </c>
      <c r="H15" t="s">
        <v>59</v>
      </c>
      <c r="I15" t="s">
        <v>60</v>
      </c>
      <c r="K15">
        <f>COUNTIF(Sheet1!A:A,'2025_discovered_ijs_competition'!B15)</f>
        <v>1</v>
      </c>
    </row>
    <row r="16" spans="1:11" hidden="1" x14ac:dyDescent="0.2">
      <c r="A16">
        <v>2025</v>
      </c>
      <c r="B16">
        <v>35490</v>
      </c>
      <c r="C16" t="s">
        <v>61</v>
      </c>
      <c r="D16">
        <v>200</v>
      </c>
      <c r="E16" t="s">
        <v>62</v>
      </c>
      <c r="F16" s="1">
        <v>45674</v>
      </c>
      <c r="G16" s="1">
        <v>45676</v>
      </c>
      <c r="H16" t="s">
        <v>59</v>
      </c>
      <c r="I16" t="s">
        <v>63</v>
      </c>
      <c r="K16">
        <f>COUNTIF(Sheet1!A:A,'2025_discovered_ijs_competition'!B16)</f>
        <v>1</v>
      </c>
    </row>
    <row r="17" spans="1:11" x14ac:dyDescent="0.2">
      <c r="A17">
        <v>2025</v>
      </c>
      <c r="B17">
        <v>35537</v>
      </c>
      <c r="C17" t="s">
        <v>64</v>
      </c>
      <c r="D17">
        <v>200</v>
      </c>
      <c r="E17" t="s">
        <v>65</v>
      </c>
      <c r="F17" s="1">
        <v>45813</v>
      </c>
      <c r="G17" s="1">
        <v>45816</v>
      </c>
      <c r="H17" t="s">
        <v>66</v>
      </c>
      <c r="I17" t="s">
        <v>67</v>
      </c>
      <c r="K17">
        <f>COUNTIF(Sheet1!A:A,'2025_discovered_ijs_competition'!B17)</f>
        <v>0</v>
      </c>
    </row>
    <row r="18" spans="1:11" hidden="1" x14ac:dyDescent="0.2">
      <c r="A18">
        <v>2025</v>
      </c>
      <c r="B18">
        <v>35539</v>
      </c>
      <c r="C18" t="s">
        <v>68</v>
      </c>
      <c r="D18">
        <v>200</v>
      </c>
      <c r="E18" t="s">
        <v>69</v>
      </c>
      <c r="F18" s="1">
        <v>45676</v>
      </c>
      <c r="G18" s="1">
        <v>45683</v>
      </c>
      <c r="H18" t="s">
        <v>70</v>
      </c>
      <c r="I18" t="s">
        <v>67</v>
      </c>
      <c r="K18">
        <f>COUNTIF(Sheet1!A:A,'2025_discovered_ijs_competition'!B18)</f>
        <v>1</v>
      </c>
    </row>
    <row r="19" spans="1:11" hidden="1" x14ac:dyDescent="0.2">
      <c r="A19">
        <v>2025</v>
      </c>
      <c r="B19">
        <v>35551</v>
      </c>
      <c r="C19" t="s">
        <v>71</v>
      </c>
      <c r="D19">
        <v>200</v>
      </c>
      <c r="E19" t="s">
        <v>72</v>
      </c>
      <c r="F19" s="1">
        <v>45660</v>
      </c>
      <c r="G19" s="1">
        <v>45662</v>
      </c>
      <c r="H19" t="s">
        <v>73</v>
      </c>
      <c r="I19" t="s">
        <v>74</v>
      </c>
      <c r="K19">
        <f>COUNTIF(Sheet1!A:A,'2025_discovered_ijs_competition'!B19)</f>
        <v>1</v>
      </c>
    </row>
    <row r="20" spans="1:11" x14ac:dyDescent="0.2">
      <c r="A20">
        <v>2025</v>
      </c>
      <c r="B20">
        <v>35558</v>
      </c>
      <c r="C20" t="s">
        <v>75</v>
      </c>
      <c r="D20">
        <v>200</v>
      </c>
      <c r="E20" t="s">
        <v>76</v>
      </c>
      <c r="F20" s="1">
        <v>45695</v>
      </c>
      <c r="G20" s="1">
        <v>45697</v>
      </c>
      <c r="H20" t="s">
        <v>77</v>
      </c>
      <c r="I20" t="s">
        <v>78</v>
      </c>
      <c r="K20">
        <f>COUNTIF(Sheet1!A:A,'2025_discovered_ijs_competition'!B20)</f>
        <v>0</v>
      </c>
    </row>
    <row r="21" spans="1:11" x14ac:dyDescent="0.2">
      <c r="A21">
        <v>2025</v>
      </c>
      <c r="B21">
        <v>35560</v>
      </c>
      <c r="C21" t="s">
        <v>79</v>
      </c>
      <c r="D21">
        <v>200</v>
      </c>
      <c r="E21" t="s">
        <v>80</v>
      </c>
      <c r="F21" s="1">
        <v>45812</v>
      </c>
      <c r="G21" s="1">
        <v>45815</v>
      </c>
      <c r="H21" t="s">
        <v>81</v>
      </c>
      <c r="I21" t="s">
        <v>82</v>
      </c>
      <c r="K21">
        <f>COUNTIF(Sheet1!A:A,'2025_discovered_ijs_competition'!B21)</f>
        <v>0</v>
      </c>
    </row>
    <row r="22" spans="1:11" hidden="1" x14ac:dyDescent="0.2">
      <c r="A22">
        <v>2025</v>
      </c>
      <c r="B22">
        <v>35569</v>
      </c>
      <c r="C22" t="s">
        <v>83</v>
      </c>
      <c r="D22">
        <v>200</v>
      </c>
      <c r="E22" t="s">
        <v>84</v>
      </c>
      <c r="F22" s="1">
        <v>45697</v>
      </c>
      <c r="G22" s="1">
        <v>45697</v>
      </c>
      <c r="H22" t="s">
        <v>85</v>
      </c>
      <c r="I22" t="s">
        <v>86</v>
      </c>
      <c r="K22">
        <f>COUNTIF(Sheet1!A:A,'2025_discovered_ijs_competition'!B22)</f>
        <v>1</v>
      </c>
    </row>
    <row r="23" spans="1:11" hidden="1" x14ac:dyDescent="0.2">
      <c r="A23">
        <v>2025</v>
      </c>
      <c r="B23">
        <v>35601</v>
      </c>
      <c r="C23" t="s">
        <v>87</v>
      </c>
      <c r="D23">
        <v>200</v>
      </c>
      <c r="E23" t="s">
        <v>88</v>
      </c>
      <c r="F23" s="1">
        <v>45703</v>
      </c>
      <c r="G23" s="1">
        <v>45703</v>
      </c>
      <c r="H23" t="s">
        <v>89</v>
      </c>
      <c r="I23" t="s">
        <v>90</v>
      </c>
      <c r="K23">
        <f>COUNTIF(Sheet1!A:A,'2025_discovered_ijs_competition'!B23)</f>
        <v>1</v>
      </c>
    </row>
    <row r="24" spans="1:11" x14ac:dyDescent="0.2">
      <c r="A24">
        <v>2025</v>
      </c>
      <c r="B24">
        <v>35604</v>
      </c>
      <c r="C24" t="s">
        <v>91</v>
      </c>
      <c r="D24">
        <v>200</v>
      </c>
      <c r="E24" t="s">
        <v>92</v>
      </c>
      <c r="F24" s="1">
        <v>45724</v>
      </c>
      <c r="G24" s="1">
        <v>45724</v>
      </c>
      <c r="H24" t="s">
        <v>93</v>
      </c>
      <c r="I24" t="s">
        <v>94</v>
      </c>
      <c r="K24">
        <f>COUNTIF(Sheet1!A:A,'2025_discovered_ijs_competition'!B24)</f>
        <v>0</v>
      </c>
    </row>
    <row r="25" spans="1:11" x14ac:dyDescent="0.2">
      <c r="A25">
        <v>2025</v>
      </c>
      <c r="B25">
        <v>35609</v>
      </c>
      <c r="C25" t="s">
        <v>95</v>
      </c>
      <c r="D25">
        <v>200</v>
      </c>
      <c r="E25" t="s">
        <v>96</v>
      </c>
      <c r="F25" s="1">
        <v>45708</v>
      </c>
      <c r="G25" s="1">
        <v>45711</v>
      </c>
      <c r="H25" t="s">
        <v>97</v>
      </c>
      <c r="I25" t="s">
        <v>98</v>
      </c>
      <c r="K25">
        <f>COUNTIF(Sheet1!A:A,'2025_discovered_ijs_competition'!B25)</f>
        <v>0</v>
      </c>
    </row>
    <row r="26" spans="1:11" hidden="1" x14ac:dyDescent="0.2">
      <c r="A26">
        <v>2025</v>
      </c>
      <c r="B26">
        <v>35612</v>
      </c>
      <c r="C26" t="s">
        <v>99</v>
      </c>
      <c r="D26">
        <v>200</v>
      </c>
      <c r="E26" t="s">
        <v>100</v>
      </c>
      <c r="F26" s="1">
        <v>45702</v>
      </c>
      <c r="G26" s="1">
        <v>45703</v>
      </c>
      <c r="H26" t="s">
        <v>101</v>
      </c>
      <c r="I26" t="s">
        <v>102</v>
      </c>
      <c r="K26">
        <f>COUNTIF(Sheet1!A:A,'2025_discovered_ijs_competition'!B26)</f>
        <v>1</v>
      </c>
    </row>
    <row r="27" spans="1:11" x14ac:dyDescent="0.2">
      <c r="A27">
        <v>2025</v>
      </c>
      <c r="B27">
        <v>35623</v>
      </c>
      <c r="C27" t="s">
        <v>103</v>
      </c>
      <c r="D27">
        <v>200</v>
      </c>
      <c r="E27" t="s">
        <v>104</v>
      </c>
      <c r="F27" s="1">
        <v>45702</v>
      </c>
      <c r="G27" s="1">
        <v>45703</v>
      </c>
      <c r="H27" t="s">
        <v>105</v>
      </c>
      <c r="I27" t="s">
        <v>106</v>
      </c>
      <c r="K27">
        <f>COUNTIF(Sheet1!A:A,'2025_discovered_ijs_competition'!B27)</f>
        <v>0</v>
      </c>
    </row>
    <row r="28" spans="1:11" x14ac:dyDescent="0.2">
      <c r="A28">
        <v>2025</v>
      </c>
      <c r="B28">
        <v>35624</v>
      </c>
      <c r="C28" t="s">
        <v>107</v>
      </c>
      <c r="D28">
        <v>200</v>
      </c>
      <c r="E28" t="s">
        <v>108</v>
      </c>
      <c r="F28" s="1">
        <v>45737</v>
      </c>
      <c r="G28" s="1">
        <v>45739</v>
      </c>
      <c r="H28" t="s">
        <v>109</v>
      </c>
      <c r="I28" t="s">
        <v>110</v>
      </c>
      <c r="K28">
        <f>COUNTIF(Sheet1!A:A,'2025_discovered_ijs_competition'!B28)</f>
        <v>0</v>
      </c>
    </row>
    <row r="29" spans="1:11" hidden="1" x14ac:dyDescent="0.2">
      <c r="A29">
        <v>2025</v>
      </c>
      <c r="B29">
        <v>35636</v>
      </c>
      <c r="C29" t="s">
        <v>111</v>
      </c>
      <c r="D29">
        <v>200</v>
      </c>
      <c r="E29" t="s">
        <v>112</v>
      </c>
      <c r="F29" s="1">
        <v>45912</v>
      </c>
      <c r="G29" s="1">
        <v>45914</v>
      </c>
      <c r="H29" t="s">
        <v>113</v>
      </c>
      <c r="I29" t="s">
        <v>114</v>
      </c>
      <c r="K29">
        <f>COUNTIF(Sheet1!A:A,'2025_discovered_ijs_competition'!B29)</f>
        <v>1</v>
      </c>
    </row>
    <row r="30" spans="1:11" x14ac:dyDescent="0.2">
      <c r="A30">
        <v>2025</v>
      </c>
      <c r="B30">
        <v>35637</v>
      </c>
      <c r="C30" t="s">
        <v>115</v>
      </c>
      <c r="D30">
        <v>200</v>
      </c>
      <c r="E30" t="s">
        <v>116</v>
      </c>
      <c r="F30" s="1">
        <v>45876</v>
      </c>
      <c r="G30" s="1">
        <v>45879</v>
      </c>
      <c r="H30" t="s">
        <v>117</v>
      </c>
      <c r="I30" t="s">
        <v>118</v>
      </c>
      <c r="K30">
        <f>COUNTIF(Sheet1!A:A,'2025_discovered_ijs_competition'!B30)</f>
        <v>0</v>
      </c>
    </row>
    <row r="31" spans="1:11" hidden="1" x14ac:dyDescent="0.2">
      <c r="A31">
        <v>2025</v>
      </c>
      <c r="B31">
        <v>35638</v>
      </c>
      <c r="C31" t="s">
        <v>119</v>
      </c>
      <c r="D31">
        <v>200</v>
      </c>
      <c r="E31" t="s">
        <v>120</v>
      </c>
      <c r="F31" s="1">
        <v>45876</v>
      </c>
      <c r="G31" s="1">
        <v>45878</v>
      </c>
      <c r="H31" t="s">
        <v>117</v>
      </c>
      <c r="I31" t="s">
        <v>118</v>
      </c>
      <c r="K31">
        <f>COUNTIF(Sheet1!A:A,'2025_discovered_ijs_competition'!B31)</f>
        <v>1</v>
      </c>
    </row>
    <row r="32" spans="1:11" hidden="1" x14ac:dyDescent="0.2">
      <c r="A32">
        <v>2025</v>
      </c>
      <c r="B32">
        <v>35645</v>
      </c>
      <c r="C32" t="s">
        <v>121</v>
      </c>
      <c r="D32">
        <v>200</v>
      </c>
      <c r="E32" t="s">
        <v>122</v>
      </c>
      <c r="F32" s="1">
        <v>45868</v>
      </c>
      <c r="G32" s="1">
        <v>45872</v>
      </c>
      <c r="H32" t="s">
        <v>123</v>
      </c>
      <c r="I32" t="s">
        <v>124</v>
      </c>
      <c r="K32">
        <f>COUNTIF(Sheet1!A:A,'2025_discovered_ijs_competition'!B32)</f>
        <v>1</v>
      </c>
    </row>
    <row r="33" spans="1:11" hidden="1" x14ac:dyDescent="0.2">
      <c r="A33">
        <v>2025</v>
      </c>
      <c r="B33">
        <v>35653</v>
      </c>
      <c r="C33" t="s">
        <v>125</v>
      </c>
      <c r="D33">
        <v>200</v>
      </c>
      <c r="E33" t="s">
        <v>126</v>
      </c>
      <c r="F33" s="1">
        <v>45898</v>
      </c>
      <c r="G33" s="1">
        <v>45900</v>
      </c>
      <c r="H33" t="s">
        <v>38</v>
      </c>
      <c r="I33" t="s">
        <v>127</v>
      </c>
      <c r="K33">
        <f>COUNTIF(Sheet1!A:A,'2025_discovered_ijs_competition'!B33)</f>
        <v>1</v>
      </c>
    </row>
    <row r="34" spans="1:11" x14ac:dyDescent="0.2">
      <c r="A34">
        <v>2025</v>
      </c>
      <c r="B34">
        <v>35654</v>
      </c>
      <c r="C34" t="s">
        <v>128</v>
      </c>
      <c r="D34">
        <v>200</v>
      </c>
      <c r="E34" t="s">
        <v>129</v>
      </c>
      <c r="F34" s="1">
        <v>45911</v>
      </c>
      <c r="G34" s="1">
        <v>45914</v>
      </c>
      <c r="H34" t="s">
        <v>130</v>
      </c>
      <c r="I34" t="s">
        <v>127</v>
      </c>
      <c r="K34">
        <f>COUNTIF(Sheet1!A:A,'2025_discovered_ijs_competition'!B34)</f>
        <v>0</v>
      </c>
    </row>
    <row r="35" spans="1:11" x14ac:dyDescent="0.2">
      <c r="A35">
        <v>2025</v>
      </c>
      <c r="B35">
        <v>35655</v>
      </c>
      <c r="C35" t="s">
        <v>131</v>
      </c>
      <c r="D35">
        <v>200</v>
      </c>
      <c r="E35" t="s">
        <v>132</v>
      </c>
      <c r="F35" s="1">
        <v>45750</v>
      </c>
      <c r="G35" s="1">
        <v>45753</v>
      </c>
      <c r="H35" t="s">
        <v>133</v>
      </c>
      <c r="I35" t="s">
        <v>134</v>
      </c>
      <c r="K35">
        <f>COUNTIF(Sheet1!A:A,'2025_discovered_ijs_competition'!B35)</f>
        <v>0</v>
      </c>
    </row>
    <row r="36" spans="1:11" x14ac:dyDescent="0.2">
      <c r="A36">
        <v>2025</v>
      </c>
      <c r="B36">
        <v>35656</v>
      </c>
      <c r="C36" t="s">
        <v>135</v>
      </c>
      <c r="D36">
        <v>200</v>
      </c>
      <c r="E36" t="s">
        <v>136</v>
      </c>
      <c r="F36" s="1">
        <v>45828</v>
      </c>
      <c r="G36" s="1">
        <v>45830</v>
      </c>
      <c r="H36" t="s">
        <v>137</v>
      </c>
      <c r="I36" t="s">
        <v>134</v>
      </c>
      <c r="K36">
        <f>COUNTIF(Sheet1!A:A,'2025_discovered_ijs_competition'!B36)</f>
        <v>0</v>
      </c>
    </row>
    <row r="37" spans="1:11" x14ac:dyDescent="0.2">
      <c r="A37">
        <v>2025</v>
      </c>
      <c r="B37">
        <v>35657</v>
      </c>
      <c r="C37" t="s">
        <v>138</v>
      </c>
      <c r="D37">
        <v>200</v>
      </c>
      <c r="E37" t="s">
        <v>139</v>
      </c>
      <c r="F37" s="1">
        <v>45779</v>
      </c>
      <c r="G37" s="1">
        <v>45781</v>
      </c>
      <c r="H37" t="s">
        <v>140</v>
      </c>
      <c r="I37" t="s">
        <v>134</v>
      </c>
      <c r="K37">
        <f>COUNTIF(Sheet1!A:A,'2025_discovered_ijs_competition'!B37)</f>
        <v>0</v>
      </c>
    </row>
    <row r="38" spans="1:11" hidden="1" x14ac:dyDescent="0.2">
      <c r="A38">
        <v>2025</v>
      </c>
      <c r="B38">
        <v>35664</v>
      </c>
      <c r="C38" t="s">
        <v>141</v>
      </c>
      <c r="D38">
        <v>200</v>
      </c>
      <c r="E38" t="s">
        <v>142</v>
      </c>
      <c r="F38" s="1">
        <v>45890</v>
      </c>
      <c r="G38" s="1">
        <v>45893</v>
      </c>
      <c r="H38" t="s">
        <v>143</v>
      </c>
      <c r="I38" t="s">
        <v>144</v>
      </c>
      <c r="K38">
        <f>COUNTIF(Sheet1!A:A,'2025_discovered_ijs_competition'!B38)</f>
        <v>1</v>
      </c>
    </row>
    <row r="39" spans="1:11" hidden="1" x14ac:dyDescent="0.2">
      <c r="A39">
        <v>2025</v>
      </c>
      <c r="B39">
        <v>35672</v>
      </c>
      <c r="C39" t="s">
        <v>145</v>
      </c>
      <c r="D39">
        <v>200</v>
      </c>
      <c r="E39" t="s">
        <v>146</v>
      </c>
      <c r="F39" s="1">
        <v>45865</v>
      </c>
      <c r="G39" s="1">
        <v>45869</v>
      </c>
      <c r="H39" t="s">
        <v>147</v>
      </c>
      <c r="I39" t="s">
        <v>148</v>
      </c>
      <c r="K39">
        <f>COUNTIF(Sheet1!A:A,'2025_discovered_ijs_competition'!B39)</f>
        <v>1</v>
      </c>
    </row>
    <row r="40" spans="1:11" x14ac:dyDescent="0.2">
      <c r="A40">
        <v>2025</v>
      </c>
      <c r="B40">
        <v>35676</v>
      </c>
      <c r="C40" t="s">
        <v>149</v>
      </c>
      <c r="D40">
        <v>200</v>
      </c>
      <c r="E40" t="s">
        <v>150</v>
      </c>
      <c r="F40" s="1">
        <v>45701</v>
      </c>
      <c r="G40" s="1">
        <v>45703</v>
      </c>
      <c r="H40" t="s">
        <v>151</v>
      </c>
      <c r="I40" t="s">
        <v>152</v>
      </c>
      <c r="K40">
        <f>COUNTIF(Sheet1!A:A,'2025_discovered_ijs_competition'!B40)</f>
        <v>0</v>
      </c>
    </row>
    <row r="41" spans="1:11" hidden="1" x14ac:dyDescent="0.2">
      <c r="A41">
        <v>2025</v>
      </c>
      <c r="B41">
        <v>35701</v>
      </c>
      <c r="C41" t="s">
        <v>153</v>
      </c>
      <c r="D41">
        <v>200</v>
      </c>
      <c r="E41" t="s">
        <v>154</v>
      </c>
      <c r="F41" s="1">
        <v>45867</v>
      </c>
      <c r="G41" s="1">
        <v>45872</v>
      </c>
      <c r="H41" t="s">
        <v>155</v>
      </c>
      <c r="I41" t="s">
        <v>156</v>
      </c>
      <c r="K41">
        <f>COUNTIF(Sheet1!A:A,'2025_discovered_ijs_competition'!B41)</f>
        <v>1</v>
      </c>
    </row>
    <row r="42" spans="1:11" x14ac:dyDescent="0.2">
      <c r="A42">
        <v>2025</v>
      </c>
      <c r="B42">
        <v>35712</v>
      </c>
      <c r="C42" t="s">
        <v>157</v>
      </c>
      <c r="D42">
        <v>200</v>
      </c>
      <c r="E42" t="s">
        <v>158</v>
      </c>
      <c r="F42" s="1">
        <v>45884</v>
      </c>
      <c r="G42" s="1">
        <v>45886</v>
      </c>
      <c r="H42" t="s">
        <v>159</v>
      </c>
      <c r="I42" t="s">
        <v>160</v>
      </c>
      <c r="K42">
        <f>COUNTIF(Sheet1!A:A,'2025_discovered_ijs_competition'!B42)</f>
        <v>0</v>
      </c>
    </row>
    <row r="43" spans="1:11" x14ac:dyDescent="0.2">
      <c r="A43">
        <v>2025</v>
      </c>
      <c r="B43">
        <v>35715</v>
      </c>
      <c r="C43" t="s">
        <v>161</v>
      </c>
      <c r="D43">
        <v>200</v>
      </c>
      <c r="E43" t="s">
        <v>162</v>
      </c>
      <c r="F43" s="1">
        <v>45668</v>
      </c>
      <c r="G43" s="1">
        <v>45668</v>
      </c>
      <c r="H43" t="s">
        <v>163</v>
      </c>
      <c r="I43" t="s">
        <v>164</v>
      </c>
      <c r="K43">
        <f>COUNTIF(Sheet1!A:A,'2025_discovered_ijs_competition'!B43)</f>
        <v>0</v>
      </c>
    </row>
    <row r="44" spans="1:11" x14ac:dyDescent="0.2">
      <c r="A44">
        <v>2025</v>
      </c>
      <c r="B44">
        <v>35717</v>
      </c>
      <c r="C44" t="s">
        <v>165</v>
      </c>
      <c r="D44">
        <v>200</v>
      </c>
      <c r="E44" t="s">
        <v>166</v>
      </c>
      <c r="F44" s="1">
        <v>45807</v>
      </c>
      <c r="G44" s="1">
        <v>45809</v>
      </c>
      <c r="H44" t="s">
        <v>167</v>
      </c>
      <c r="I44" t="s">
        <v>164</v>
      </c>
      <c r="K44">
        <f>COUNTIF(Sheet1!A:A,'2025_discovered_ijs_competition'!B44)</f>
        <v>0</v>
      </c>
    </row>
    <row r="45" spans="1:11" hidden="1" x14ac:dyDescent="0.2">
      <c r="A45">
        <v>2025</v>
      </c>
      <c r="B45">
        <v>35719</v>
      </c>
      <c r="C45" t="s">
        <v>168</v>
      </c>
      <c r="D45">
        <v>200</v>
      </c>
      <c r="E45" t="s">
        <v>169</v>
      </c>
      <c r="F45" s="1">
        <v>45813</v>
      </c>
      <c r="G45" s="1">
        <v>45816</v>
      </c>
      <c r="H45" t="s">
        <v>170</v>
      </c>
      <c r="I45" t="s">
        <v>171</v>
      </c>
      <c r="K45">
        <f>COUNTIF(Sheet1!A:A,'2025_discovered_ijs_competition'!B45)</f>
        <v>1</v>
      </c>
    </row>
    <row r="46" spans="1:11" x14ac:dyDescent="0.2">
      <c r="A46">
        <v>2025</v>
      </c>
      <c r="B46">
        <v>35720</v>
      </c>
      <c r="C46" t="s">
        <v>172</v>
      </c>
      <c r="D46">
        <v>200</v>
      </c>
      <c r="E46" t="s">
        <v>173</v>
      </c>
      <c r="F46" s="1">
        <v>45814</v>
      </c>
      <c r="G46" s="1">
        <v>45816</v>
      </c>
      <c r="H46" t="s">
        <v>174</v>
      </c>
      <c r="I46" t="s">
        <v>171</v>
      </c>
      <c r="K46">
        <f>COUNTIF(Sheet1!A:A,'2025_discovered_ijs_competition'!B46)</f>
        <v>0</v>
      </c>
    </row>
    <row r="47" spans="1:11" x14ac:dyDescent="0.2">
      <c r="A47">
        <v>2025</v>
      </c>
      <c r="B47">
        <v>35721</v>
      </c>
      <c r="C47" t="s">
        <v>175</v>
      </c>
      <c r="D47">
        <v>200</v>
      </c>
      <c r="E47" t="s">
        <v>176</v>
      </c>
      <c r="F47" s="1">
        <v>45772</v>
      </c>
      <c r="G47" s="1">
        <v>45774</v>
      </c>
      <c r="H47" t="s">
        <v>177</v>
      </c>
      <c r="I47" t="s">
        <v>178</v>
      </c>
      <c r="K47">
        <f>COUNTIF(Sheet1!A:A,'2025_discovered_ijs_competition'!B47)</f>
        <v>0</v>
      </c>
    </row>
    <row r="48" spans="1:11" x14ac:dyDescent="0.2">
      <c r="A48">
        <v>2025</v>
      </c>
      <c r="B48">
        <v>35722</v>
      </c>
      <c r="C48" t="s">
        <v>179</v>
      </c>
      <c r="D48">
        <v>200</v>
      </c>
      <c r="E48" t="s">
        <v>180</v>
      </c>
      <c r="F48" s="1">
        <v>45808</v>
      </c>
      <c r="G48" s="1">
        <v>45809</v>
      </c>
      <c r="H48" t="s">
        <v>181</v>
      </c>
      <c r="I48" t="s">
        <v>178</v>
      </c>
      <c r="K48">
        <f>COUNTIF(Sheet1!A:A,'2025_discovered_ijs_competition'!B48)</f>
        <v>0</v>
      </c>
    </row>
    <row r="49" spans="1:11" x14ac:dyDescent="0.2">
      <c r="A49">
        <v>2025</v>
      </c>
      <c r="B49">
        <v>35723</v>
      </c>
      <c r="C49" t="s">
        <v>182</v>
      </c>
      <c r="D49">
        <v>200</v>
      </c>
      <c r="E49" t="s">
        <v>183</v>
      </c>
      <c r="F49" s="1">
        <v>45808</v>
      </c>
      <c r="G49" s="1">
        <v>45809</v>
      </c>
      <c r="H49" t="s">
        <v>184</v>
      </c>
      <c r="I49" t="s">
        <v>178</v>
      </c>
      <c r="K49">
        <f>COUNTIF(Sheet1!A:A,'2025_discovered_ijs_competition'!B49)</f>
        <v>0</v>
      </c>
    </row>
    <row r="50" spans="1:11" x14ac:dyDescent="0.2">
      <c r="A50">
        <v>2025</v>
      </c>
      <c r="B50">
        <v>35724</v>
      </c>
      <c r="C50" t="s">
        <v>185</v>
      </c>
      <c r="D50">
        <v>200</v>
      </c>
      <c r="E50" t="s">
        <v>186</v>
      </c>
      <c r="F50" s="1">
        <v>45807</v>
      </c>
      <c r="G50" s="1">
        <v>45809</v>
      </c>
      <c r="H50" t="s">
        <v>187</v>
      </c>
      <c r="I50" t="s">
        <v>188</v>
      </c>
      <c r="K50">
        <f>COUNTIF(Sheet1!A:A,'2025_discovered_ijs_competition'!B50)</f>
        <v>0</v>
      </c>
    </row>
    <row r="51" spans="1:11" x14ac:dyDescent="0.2">
      <c r="A51">
        <v>2025</v>
      </c>
      <c r="B51">
        <v>35725</v>
      </c>
      <c r="C51" t="s">
        <v>189</v>
      </c>
      <c r="D51">
        <v>200</v>
      </c>
      <c r="E51" t="s">
        <v>190</v>
      </c>
      <c r="F51" s="1">
        <v>45919</v>
      </c>
      <c r="G51" s="1">
        <v>45921</v>
      </c>
      <c r="H51" t="s">
        <v>191</v>
      </c>
      <c r="I51" t="s">
        <v>188</v>
      </c>
      <c r="K51">
        <f>COUNTIF(Sheet1!A:A,'2025_discovered_ijs_competition'!B51)</f>
        <v>0</v>
      </c>
    </row>
    <row r="52" spans="1:11" x14ac:dyDescent="0.2">
      <c r="A52">
        <v>2025</v>
      </c>
      <c r="B52">
        <v>35726</v>
      </c>
      <c r="C52" t="s">
        <v>192</v>
      </c>
      <c r="D52">
        <v>200</v>
      </c>
      <c r="E52" t="s">
        <v>193</v>
      </c>
      <c r="F52" s="1">
        <v>45792</v>
      </c>
      <c r="G52" s="1">
        <v>45795</v>
      </c>
      <c r="H52" t="s">
        <v>194</v>
      </c>
      <c r="I52" t="s">
        <v>188</v>
      </c>
      <c r="K52">
        <f>COUNTIF(Sheet1!A:A,'2025_discovered_ijs_competition'!B52)</f>
        <v>0</v>
      </c>
    </row>
    <row r="53" spans="1:11" x14ac:dyDescent="0.2">
      <c r="A53">
        <v>2025</v>
      </c>
      <c r="B53">
        <v>35728</v>
      </c>
      <c r="C53" t="s">
        <v>195</v>
      </c>
      <c r="D53">
        <v>200</v>
      </c>
      <c r="E53" t="s">
        <v>196</v>
      </c>
      <c r="F53" s="1">
        <v>45723</v>
      </c>
      <c r="G53" s="1">
        <v>45725</v>
      </c>
      <c r="H53" t="s">
        <v>197</v>
      </c>
      <c r="I53" t="s">
        <v>198</v>
      </c>
      <c r="K53">
        <f>COUNTIF(Sheet1!A:A,'2025_discovered_ijs_competition'!B53)</f>
        <v>0</v>
      </c>
    </row>
    <row r="54" spans="1:11" x14ac:dyDescent="0.2">
      <c r="A54">
        <v>2025</v>
      </c>
      <c r="B54">
        <v>35729</v>
      </c>
      <c r="C54" t="s">
        <v>199</v>
      </c>
      <c r="D54">
        <v>200</v>
      </c>
      <c r="E54" t="s">
        <v>200</v>
      </c>
      <c r="F54" s="1">
        <v>45772</v>
      </c>
      <c r="G54" s="1">
        <v>45774</v>
      </c>
      <c r="H54" t="s">
        <v>201</v>
      </c>
      <c r="I54" t="s">
        <v>198</v>
      </c>
      <c r="K54">
        <f>COUNTIF(Sheet1!A:A,'2025_discovered_ijs_competition'!B54)</f>
        <v>0</v>
      </c>
    </row>
    <row r="55" spans="1:11" x14ac:dyDescent="0.2">
      <c r="A55">
        <v>2025</v>
      </c>
      <c r="B55">
        <v>35730</v>
      </c>
      <c r="C55" t="s">
        <v>202</v>
      </c>
      <c r="D55">
        <v>200</v>
      </c>
      <c r="E55" t="s">
        <v>203</v>
      </c>
      <c r="F55" s="1">
        <v>45806</v>
      </c>
      <c r="G55" s="1">
        <v>45809</v>
      </c>
      <c r="H55" t="s">
        <v>204</v>
      </c>
      <c r="I55" t="s">
        <v>205</v>
      </c>
      <c r="K55">
        <f>COUNTIF(Sheet1!A:A,'2025_discovered_ijs_competition'!B55)</f>
        <v>0</v>
      </c>
    </row>
    <row r="56" spans="1:11" x14ac:dyDescent="0.2">
      <c r="A56">
        <v>2025</v>
      </c>
      <c r="B56">
        <v>35731</v>
      </c>
      <c r="C56" t="s">
        <v>206</v>
      </c>
      <c r="D56">
        <v>200</v>
      </c>
      <c r="E56" t="s">
        <v>207</v>
      </c>
      <c r="F56" s="1">
        <v>45751</v>
      </c>
      <c r="G56" s="1">
        <v>45753</v>
      </c>
      <c r="H56" t="s">
        <v>208</v>
      </c>
      <c r="I56" t="s">
        <v>205</v>
      </c>
      <c r="K56">
        <f>COUNTIF(Sheet1!A:A,'2025_discovered_ijs_competition'!B56)</f>
        <v>0</v>
      </c>
    </row>
    <row r="57" spans="1:11" x14ac:dyDescent="0.2">
      <c r="A57">
        <v>2025</v>
      </c>
      <c r="B57">
        <v>35733</v>
      </c>
      <c r="C57" t="s">
        <v>209</v>
      </c>
      <c r="D57">
        <v>200</v>
      </c>
      <c r="E57" t="s">
        <v>210</v>
      </c>
      <c r="F57" s="1">
        <v>45793</v>
      </c>
      <c r="G57" s="1">
        <v>45795</v>
      </c>
      <c r="H57" t="s">
        <v>211</v>
      </c>
      <c r="I57" t="s">
        <v>205</v>
      </c>
      <c r="K57">
        <f>COUNTIF(Sheet1!A:A,'2025_discovered_ijs_competition'!B57)</f>
        <v>0</v>
      </c>
    </row>
    <row r="58" spans="1:11" hidden="1" x14ac:dyDescent="0.2">
      <c r="A58">
        <v>2025</v>
      </c>
      <c r="B58">
        <v>35734</v>
      </c>
      <c r="C58" t="s">
        <v>212</v>
      </c>
      <c r="D58">
        <v>200</v>
      </c>
      <c r="E58" t="s">
        <v>213</v>
      </c>
      <c r="F58" s="1">
        <v>45933</v>
      </c>
      <c r="G58" s="1">
        <v>45935</v>
      </c>
      <c r="H58" t="s">
        <v>214</v>
      </c>
      <c r="I58" t="s">
        <v>215</v>
      </c>
      <c r="K58">
        <f>COUNTIF(Sheet1!A:A,'2025_discovered_ijs_competition'!B58)</f>
        <v>1</v>
      </c>
    </row>
    <row r="59" spans="1:11" x14ac:dyDescent="0.2">
      <c r="A59">
        <v>2025</v>
      </c>
      <c r="B59">
        <v>35735</v>
      </c>
      <c r="C59" t="s">
        <v>216</v>
      </c>
      <c r="D59">
        <v>200</v>
      </c>
      <c r="E59" t="s">
        <v>217</v>
      </c>
      <c r="F59" s="1">
        <v>45779</v>
      </c>
      <c r="G59" s="1">
        <v>45781</v>
      </c>
      <c r="H59" t="s">
        <v>218</v>
      </c>
      <c r="I59" t="s">
        <v>215</v>
      </c>
      <c r="K59">
        <f>COUNTIF(Sheet1!A:A,'2025_discovered_ijs_competition'!B59)</f>
        <v>0</v>
      </c>
    </row>
    <row r="60" spans="1:11" x14ac:dyDescent="0.2">
      <c r="A60">
        <v>2025</v>
      </c>
      <c r="B60">
        <v>35739</v>
      </c>
      <c r="C60" t="s">
        <v>219</v>
      </c>
      <c r="D60">
        <v>200</v>
      </c>
      <c r="E60" t="s">
        <v>220</v>
      </c>
      <c r="F60" s="1">
        <v>45807</v>
      </c>
      <c r="G60" s="1">
        <v>45809</v>
      </c>
      <c r="H60" t="s">
        <v>221</v>
      </c>
      <c r="I60" t="s">
        <v>222</v>
      </c>
      <c r="K60">
        <f>COUNTIF(Sheet1!A:A,'2025_discovered_ijs_competition'!B60)</f>
        <v>0</v>
      </c>
    </row>
    <row r="61" spans="1:11" x14ac:dyDescent="0.2">
      <c r="A61">
        <v>2025</v>
      </c>
      <c r="B61">
        <v>35740</v>
      </c>
      <c r="C61" t="s">
        <v>223</v>
      </c>
      <c r="D61">
        <v>200</v>
      </c>
      <c r="E61" t="s">
        <v>224</v>
      </c>
      <c r="F61" s="1">
        <v>45806</v>
      </c>
      <c r="G61" s="1">
        <v>45809</v>
      </c>
      <c r="H61" t="s">
        <v>225</v>
      </c>
      <c r="I61" t="s">
        <v>222</v>
      </c>
      <c r="K61">
        <f>COUNTIF(Sheet1!A:A,'2025_discovered_ijs_competition'!B61)</f>
        <v>0</v>
      </c>
    </row>
    <row r="62" spans="1:11" x14ac:dyDescent="0.2">
      <c r="A62">
        <v>2025</v>
      </c>
      <c r="B62">
        <v>35742</v>
      </c>
      <c r="C62" t="s">
        <v>226</v>
      </c>
      <c r="D62">
        <v>200</v>
      </c>
      <c r="E62" t="s">
        <v>227</v>
      </c>
      <c r="F62" s="1">
        <v>45780</v>
      </c>
      <c r="G62" s="1">
        <v>45781</v>
      </c>
      <c r="H62" t="s">
        <v>228</v>
      </c>
      <c r="I62" t="s">
        <v>229</v>
      </c>
      <c r="K62">
        <f>COUNTIF(Sheet1!A:A,'2025_discovered_ijs_competition'!B62)</f>
        <v>0</v>
      </c>
    </row>
    <row r="63" spans="1:11" hidden="1" x14ac:dyDescent="0.2">
      <c r="A63">
        <v>2025</v>
      </c>
      <c r="B63">
        <v>35743</v>
      </c>
      <c r="C63" t="s">
        <v>230</v>
      </c>
      <c r="D63">
        <v>200</v>
      </c>
      <c r="E63" t="s">
        <v>231</v>
      </c>
      <c r="F63" s="1">
        <v>45930</v>
      </c>
      <c r="G63" s="1">
        <v>45934</v>
      </c>
      <c r="H63" t="s">
        <v>232</v>
      </c>
      <c r="I63" t="s">
        <v>229</v>
      </c>
      <c r="K63">
        <f>COUNTIF(Sheet1!A:A,'2025_discovered_ijs_competition'!B63)</f>
        <v>1</v>
      </c>
    </row>
    <row r="64" spans="1:11" x14ac:dyDescent="0.2">
      <c r="A64">
        <v>2025</v>
      </c>
      <c r="B64">
        <v>35744</v>
      </c>
      <c r="C64" t="s">
        <v>233</v>
      </c>
      <c r="D64">
        <v>200</v>
      </c>
      <c r="E64" t="s">
        <v>234</v>
      </c>
      <c r="F64" s="1">
        <v>45813</v>
      </c>
      <c r="G64" s="1">
        <v>45816</v>
      </c>
      <c r="H64" t="s">
        <v>235</v>
      </c>
      <c r="I64" t="s">
        <v>236</v>
      </c>
      <c r="K64">
        <f>COUNTIF(Sheet1!A:A,'2025_discovered_ijs_competition'!B64)</f>
        <v>0</v>
      </c>
    </row>
    <row r="65" spans="1:11" x14ac:dyDescent="0.2">
      <c r="A65">
        <v>2025</v>
      </c>
      <c r="B65">
        <v>35746</v>
      </c>
      <c r="C65" t="s">
        <v>237</v>
      </c>
      <c r="D65">
        <v>200</v>
      </c>
      <c r="E65" t="s">
        <v>238</v>
      </c>
      <c r="F65" s="1">
        <v>45731</v>
      </c>
      <c r="G65" s="1">
        <v>45732</v>
      </c>
      <c r="H65" t="s">
        <v>239</v>
      </c>
      <c r="I65" t="s">
        <v>236</v>
      </c>
      <c r="K65">
        <f>COUNTIF(Sheet1!A:A,'2025_discovered_ijs_competition'!B65)</f>
        <v>0</v>
      </c>
    </row>
    <row r="66" spans="1:11" x14ac:dyDescent="0.2">
      <c r="A66">
        <v>2025</v>
      </c>
      <c r="B66">
        <v>35747</v>
      </c>
      <c r="C66" t="s">
        <v>240</v>
      </c>
      <c r="D66">
        <v>200</v>
      </c>
      <c r="E66" t="s">
        <v>241</v>
      </c>
      <c r="F66" s="1">
        <v>45757</v>
      </c>
      <c r="G66" s="1">
        <v>45760</v>
      </c>
      <c r="H66" t="s">
        <v>242</v>
      </c>
      <c r="I66" t="s">
        <v>243</v>
      </c>
      <c r="K66">
        <f>COUNTIF(Sheet1!A:A,'2025_discovered_ijs_competition'!B66)</f>
        <v>0</v>
      </c>
    </row>
    <row r="67" spans="1:11" x14ac:dyDescent="0.2">
      <c r="A67">
        <v>2025</v>
      </c>
      <c r="B67">
        <v>35748</v>
      </c>
      <c r="C67" t="s">
        <v>244</v>
      </c>
      <c r="D67">
        <v>200</v>
      </c>
      <c r="E67" t="s">
        <v>245</v>
      </c>
      <c r="F67" s="1">
        <v>45801</v>
      </c>
      <c r="G67" s="1">
        <v>45802</v>
      </c>
      <c r="H67" t="s">
        <v>246</v>
      </c>
      <c r="I67" t="s">
        <v>243</v>
      </c>
      <c r="K67">
        <f>COUNTIF(Sheet1!A:A,'2025_discovered_ijs_competition'!B67)</f>
        <v>0</v>
      </c>
    </row>
    <row r="68" spans="1:11" x14ac:dyDescent="0.2">
      <c r="A68">
        <v>2025</v>
      </c>
      <c r="B68">
        <v>35750</v>
      </c>
      <c r="C68" t="s">
        <v>247</v>
      </c>
      <c r="D68">
        <v>200</v>
      </c>
      <c r="E68" t="s">
        <v>248</v>
      </c>
      <c r="F68" s="1">
        <v>45730</v>
      </c>
      <c r="G68" s="1">
        <v>45732</v>
      </c>
      <c r="H68" t="s">
        <v>249</v>
      </c>
      <c r="I68" t="s">
        <v>250</v>
      </c>
      <c r="K68">
        <f>COUNTIF(Sheet1!A:A,'2025_discovered_ijs_competition'!B68)</f>
        <v>0</v>
      </c>
    </row>
    <row r="69" spans="1:11" x14ac:dyDescent="0.2">
      <c r="A69">
        <v>2025</v>
      </c>
      <c r="B69">
        <v>35751</v>
      </c>
      <c r="C69" t="s">
        <v>251</v>
      </c>
      <c r="D69">
        <v>200</v>
      </c>
      <c r="E69" t="s">
        <v>252</v>
      </c>
      <c r="F69" s="1">
        <v>45688</v>
      </c>
      <c r="G69" s="1">
        <v>45689</v>
      </c>
      <c r="H69" t="s">
        <v>253</v>
      </c>
      <c r="I69" t="s">
        <v>250</v>
      </c>
      <c r="K69">
        <f>COUNTIF(Sheet1!A:A,'2025_discovered_ijs_competition'!B69)</f>
        <v>0</v>
      </c>
    </row>
    <row r="70" spans="1:11" x14ac:dyDescent="0.2">
      <c r="A70">
        <v>2025</v>
      </c>
      <c r="B70">
        <v>35754</v>
      </c>
      <c r="C70" t="s">
        <v>254</v>
      </c>
      <c r="D70">
        <v>200</v>
      </c>
      <c r="E70" t="s">
        <v>255</v>
      </c>
      <c r="F70" s="1">
        <v>45723</v>
      </c>
      <c r="G70" s="1">
        <v>45724</v>
      </c>
      <c r="H70" t="s">
        <v>256</v>
      </c>
      <c r="I70" t="s">
        <v>257</v>
      </c>
      <c r="K70">
        <f>COUNTIF(Sheet1!A:A,'2025_discovered_ijs_competition'!B70)</f>
        <v>0</v>
      </c>
    </row>
    <row r="71" spans="1:11" hidden="1" x14ac:dyDescent="0.2">
      <c r="A71">
        <v>2025</v>
      </c>
      <c r="B71">
        <v>35755</v>
      </c>
      <c r="C71" t="s">
        <v>258</v>
      </c>
      <c r="D71">
        <v>200</v>
      </c>
      <c r="E71" t="s">
        <v>259</v>
      </c>
      <c r="F71" s="1">
        <v>45725</v>
      </c>
      <c r="G71" s="1">
        <v>45725</v>
      </c>
      <c r="H71" t="s">
        <v>260</v>
      </c>
      <c r="I71" t="s">
        <v>257</v>
      </c>
      <c r="K71">
        <f>COUNTIF(Sheet1!A:A,'2025_discovered_ijs_competition'!B71)</f>
        <v>1</v>
      </c>
    </row>
    <row r="72" spans="1:11" x14ac:dyDescent="0.2">
      <c r="A72">
        <v>2025</v>
      </c>
      <c r="B72">
        <v>35756</v>
      </c>
      <c r="C72" t="s">
        <v>261</v>
      </c>
      <c r="D72">
        <v>200</v>
      </c>
      <c r="E72" t="s">
        <v>262</v>
      </c>
      <c r="F72" s="1">
        <v>45792</v>
      </c>
      <c r="G72" s="1">
        <v>45795</v>
      </c>
      <c r="H72" t="s">
        <v>263</v>
      </c>
      <c r="I72" t="s">
        <v>257</v>
      </c>
      <c r="K72">
        <f>COUNTIF(Sheet1!A:A,'2025_discovered_ijs_competition'!B72)</f>
        <v>0</v>
      </c>
    </row>
    <row r="73" spans="1:11" x14ac:dyDescent="0.2">
      <c r="A73">
        <v>2025</v>
      </c>
      <c r="B73">
        <v>35757</v>
      </c>
      <c r="C73" t="s">
        <v>264</v>
      </c>
      <c r="D73">
        <v>200</v>
      </c>
      <c r="E73" t="s">
        <v>265</v>
      </c>
      <c r="F73" s="1">
        <v>45708</v>
      </c>
      <c r="G73" s="1">
        <v>45711</v>
      </c>
      <c r="H73" t="s">
        <v>266</v>
      </c>
      <c r="I73" t="s">
        <v>267</v>
      </c>
      <c r="K73">
        <f>COUNTIF(Sheet1!A:A,'2025_discovered_ijs_competition'!B73)</f>
        <v>0</v>
      </c>
    </row>
    <row r="74" spans="1:11" x14ac:dyDescent="0.2">
      <c r="A74">
        <v>2025</v>
      </c>
      <c r="B74">
        <v>35758</v>
      </c>
      <c r="C74" t="s">
        <v>268</v>
      </c>
      <c r="D74">
        <v>200</v>
      </c>
      <c r="E74" t="s">
        <v>269</v>
      </c>
      <c r="F74" s="1">
        <v>45737</v>
      </c>
      <c r="G74" s="1">
        <v>45739</v>
      </c>
      <c r="H74" t="s">
        <v>270</v>
      </c>
      <c r="I74" t="s">
        <v>267</v>
      </c>
      <c r="K74">
        <f>COUNTIF(Sheet1!A:A,'2025_discovered_ijs_competition'!B74)</f>
        <v>0</v>
      </c>
    </row>
    <row r="75" spans="1:11" x14ac:dyDescent="0.2">
      <c r="A75">
        <v>2025</v>
      </c>
      <c r="B75">
        <v>35759</v>
      </c>
      <c r="C75" t="s">
        <v>271</v>
      </c>
      <c r="D75">
        <v>200</v>
      </c>
      <c r="E75" t="s">
        <v>272</v>
      </c>
      <c r="F75" s="1">
        <v>45730</v>
      </c>
      <c r="G75" s="1">
        <v>45732</v>
      </c>
      <c r="H75" t="s">
        <v>45</v>
      </c>
      <c r="I75" t="s">
        <v>267</v>
      </c>
      <c r="K75">
        <f>COUNTIF(Sheet1!A:A,'2025_discovered_ijs_competition'!B75)</f>
        <v>0</v>
      </c>
    </row>
    <row r="76" spans="1:11" x14ac:dyDescent="0.2">
      <c r="A76">
        <v>2025</v>
      </c>
      <c r="B76">
        <v>35763</v>
      </c>
      <c r="C76" t="s">
        <v>273</v>
      </c>
      <c r="D76">
        <v>200</v>
      </c>
      <c r="E76" t="s">
        <v>274</v>
      </c>
      <c r="F76" s="1">
        <v>45784</v>
      </c>
      <c r="G76" s="1">
        <v>45788</v>
      </c>
      <c r="H76" t="s">
        <v>48</v>
      </c>
      <c r="I76" t="s">
        <v>275</v>
      </c>
      <c r="K76">
        <f>COUNTIF(Sheet1!A:A,'2025_discovered_ijs_competition'!B76)</f>
        <v>0</v>
      </c>
    </row>
    <row r="77" spans="1:11" x14ac:dyDescent="0.2">
      <c r="A77">
        <v>2025</v>
      </c>
      <c r="B77">
        <v>35764</v>
      </c>
      <c r="C77" t="s">
        <v>276</v>
      </c>
      <c r="D77">
        <v>200</v>
      </c>
      <c r="E77" t="s">
        <v>277</v>
      </c>
      <c r="F77" s="1">
        <v>45792</v>
      </c>
      <c r="G77" s="1">
        <v>45795</v>
      </c>
      <c r="H77" t="s">
        <v>278</v>
      </c>
      <c r="I77" t="s">
        <v>279</v>
      </c>
      <c r="K77">
        <f>COUNTIF(Sheet1!A:A,'2025_discovered_ijs_competition'!B77)</f>
        <v>0</v>
      </c>
    </row>
    <row r="78" spans="1:11" x14ac:dyDescent="0.2">
      <c r="A78">
        <v>2025</v>
      </c>
      <c r="B78">
        <v>35766</v>
      </c>
      <c r="C78" t="s">
        <v>280</v>
      </c>
      <c r="D78">
        <v>200</v>
      </c>
      <c r="E78" t="s">
        <v>281</v>
      </c>
      <c r="F78" s="1">
        <v>45854</v>
      </c>
      <c r="G78" s="1">
        <v>45858</v>
      </c>
      <c r="H78" t="s">
        <v>282</v>
      </c>
      <c r="I78" t="s">
        <v>279</v>
      </c>
      <c r="K78">
        <f>COUNTIF(Sheet1!A:A,'2025_discovered_ijs_competition'!B78)</f>
        <v>0</v>
      </c>
    </row>
    <row r="79" spans="1:11" x14ac:dyDescent="0.2">
      <c r="A79">
        <v>2025</v>
      </c>
      <c r="B79">
        <v>35768</v>
      </c>
      <c r="C79" t="s">
        <v>283</v>
      </c>
      <c r="D79">
        <v>200</v>
      </c>
      <c r="E79" t="s">
        <v>284</v>
      </c>
      <c r="F79" s="1">
        <v>45673</v>
      </c>
      <c r="G79" s="1">
        <v>45676</v>
      </c>
      <c r="H79" t="s">
        <v>285</v>
      </c>
      <c r="I79" t="s">
        <v>286</v>
      </c>
      <c r="K79">
        <f>COUNTIF(Sheet1!A:A,'2025_discovered_ijs_competition'!B79)</f>
        <v>0</v>
      </c>
    </row>
    <row r="80" spans="1:11" x14ac:dyDescent="0.2">
      <c r="A80">
        <v>2025</v>
      </c>
      <c r="B80">
        <v>35771</v>
      </c>
      <c r="C80" t="s">
        <v>287</v>
      </c>
      <c r="D80">
        <v>200</v>
      </c>
      <c r="E80" t="s">
        <v>288</v>
      </c>
      <c r="F80" s="1">
        <v>45757</v>
      </c>
      <c r="G80" s="1">
        <v>45760</v>
      </c>
      <c r="H80" t="s">
        <v>289</v>
      </c>
      <c r="I80" t="s">
        <v>290</v>
      </c>
      <c r="K80">
        <f>COUNTIF(Sheet1!A:A,'2025_discovered_ijs_competition'!B80)</f>
        <v>0</v>
      </c>
    </row>
    <row r="81" spans="1:11" x14ac:dyDescent="0.2">
      <c r="A81">
        <v>2025</v>
      </c>
      <c r="B81">
        <v>35773</v>
      </c>
      <c r="C81" t="s">
        <v>291</v>
      </c>
      <c r="D81">
        <v>200</v>
      </c>
      <c r="E81" t="s">
        <v>292</v>
      </c>
      <c r="F81" s="1">
        <v>45770</v>
      </c>
      <c r="G81" s="1">
        <v>45774</v>
      </c>
      <c r="H81" t="s">
        <v>51</v>
      </c>
      <c r="I81" t="s">
        <v>290</v>
      </c>
      <c r="K81">
        <f>COUNTIF(Sheet1!A:A,'2025_discovered_ijs_competition'!B81)</f>
        <v>0</v>
      </c>
    </row>
    <row r="82" spans="1:11" x14ac:dyDescent="0.2">
      <c r="A82">
        <v>2025</v>
      </c>
      <c r="B82">
        <v>35774</v>
      </c>
      <c r="C82" t="s">
        <v>293</v>
      </c>
      <c r="D82">
        <v>200</v>
      </c>
      <c r="E82" t="s">
        <v>294</v>
      </c>
      <c r="F82" s="1">
        <v>45857</v>
      </c>
      <c r="G82" s="1">
        <v>45858</v>
      </c>
      <c r="H82" t="s">
        <v>295</v>
      </c>
      <c r="I82" t="s">
        <v>296</v>
      </c>
      <c r="K82">
        <f>COUNTIF(Sheet1!A:A,'2025_discovered_ijs_competition'!B82)</f>
        <v>0</v>
      </c>
    </row>
    <row r="83" spans="1:11" x14ac:dyDescent="0.2">
      <c r="A83">
        <v>2025</v>
      </c>
      <c r="B83">
        <v>35775</v>
      </c>
      <c r="C83" t="s">
        <v>297</v>
      </c>
      <c r="D83">
        <v>200</v>
      </c>
      <c r="E83" t="s">
        <v>298</v>
      </c>
      <c r="F83" s="1">
        <v>45848</v>
      </c>
      <c r="G83" s="1">
        <v>45851</v>
      </c>
      <c r="H83" t="s">
        <v>299</v>
      </c>
      <c r="I83" t="s">
        <v>296</v>
      </c>
      <c r="K83">
        <f>COUNTIF(Sheet1!A:A,'2025_discovered_ijs_competition'!B83)</f>
        <v>0</v>
      </c>
    </row>
    <row r="84" spans="1:11" x14ac:dyDescent="0.2">
      <c r="A84">
        <v>2025</v>
      </c>
      <c r="B84">
        <v>35781</v>
      </c>
      <c r="C84" t="s">
        <v>300</v>
      </c>
      <c r="D84">
        <v>200</v>
      </c>
      <c r="E84" t="s">
        <v>301</v>
      </c>
      <c r="F84" s="1">
        <v>45661</v>
      </c>
      <c r="G84" s="1">
        <v>45662</v>
      </c>
      <c r="H84" t="s">
        <v>302</v>
      </c>
      <c r="I84" t="s">
        <v>303</v>
      </c>
      <c r="K84">
        <f>COUNTIF(Sheet1!A:A,'2025_discovered_ijs_competition'!B84)</f>
        <v>0</v>
      </c>
    </row>
    <row r="85" spans="1:11" hidden="1" x14ac:dyDescent="0.2">
      <c r="A85">
        <v>2025</v>
      </c>
      <c r="B85">
        <v>35783</v>
      </c>
      <c r="C85" t="s">
        <v>304</v>
      </c>
      <c r="D85">
        <v>200</v>
      </c>
      <c r="E85" t="s">
        <v>305</v>
      </c>
      <c r="F85" s="1">
        <v>45884</v>
      </c>
      <c r="G85" s="1">
        <v>45886</v>
      </c>
      <c r="H85" t="s">
        <v>306</v>
      </c>
      <c r="I85" t="s">
        <v>303</v>
      </c>
      <c r="K85">
        <f>COUNTIF(Sheet1!A:A,'2025_discovered_ijs_competition'!B85)</f>
        <v>1</v>
      </c>
    </row>
    <row r="86" spans="1:11" x14ac:dyDescent="0.2">
      <c r="A86">
        <v>2025</v>
      </c>
      <c r="B86">
        <v>35784</v>
      </c>
      <c r="C86" t="s">
        <v>307</v>
      </c>
      <c r="D86">
        <v>200</v>
      </c>
      <c r="E86" t="s">
        <v>308</v>
      </c>
      <c r="F86" s="1">
        <v>45786</v>
      </c>
      <c r="G86" s="1">
        <v>45787</v>
      </c>
      <c r="H86" t="s">
        <v>117</v>
      </c>
      <c r="I86" t="s">
        <v>303</v>
      </c>
      <c r="K86">
        <f>COUNTIF(Sheet1!A:A,'2025_discovered_ijs_competition'!B86)</f>
        <v>0</v>
      </c>
    </row>
    <row r="87" spans="1:11" x14ac:dyDescent="0.2">
      <c r="A87">
        <v>2025</v>
      </c>
      <c r="B87">
        <v>35787</v>
      </c>
      <c r="C87" t="s">
        <v>309</v>
      </c>
      <c r="D87">
        <v>200</v>
      </c>
      <c r="E87" t="s">
        <v>310</v>
      </c>
      <c r="F87" s="1">
        <v>45792</v>
      </c>
      <c r="G87" s="1">
        <v>45795</v>
      </c>
      <c r="H87" t="s">
        <v>311</v>
      </c>
      <c r="I87" t="s">
        <v>312</v>
      </c>
      <c r="K87">
        <f>COUNTIF(Sheet1!A:A,'2025_discovered_ijs_competition'!B87)</f>
        <v>0</v>
      </c>
    </row>
    <row r="88" spans="1:11" x14ac:dyDescent="0.2">
      <c r="A88">
        <v>2025</v>
      </c>
      <c r="B88">
        <v>35788</v>
      </c>
      <c r="C88" t="s">
        <v>313</v>
      </c>
      <c r="D88">
        <v>200</v>
      </c>
      <c r="E88" t="s">
        <v>314</v>
      </c>
      <c r="F88" s="1">
        <v>45722</v>
      </c>
      <c r="G88" s="1">
        <v>45725</v>
      </c>
      <c r="H88" t="s">
        <v>315</v>
      </c>
      <c r="I88" t="s">
        <v>312</v>
      </c>
      <c r="K88">
        <f>COUNTIF(Sheet1!A:A,'2025_discovered_ijs_competition'!B88)</f>
        <v>0</v>
      </c>
    </row>
    <row r="89" spans="1:11" x14ac:dyDescent="0.2">
      <c r="A89">
        <v>2025</v>
      </c>
      <c r="B89">
        <v>35791</v>
      </c>
      <c r="C89" t="s">
        <v>316</v>
      </c>
      <c r="D89">
        <v>200</v>
      </c>
      <c r="E89" t="s">
        <v>317</v>
      </c>
      <c r="F89" s="1">
        <v>45702</v>
      </c>
      <c r="G89" s="1">
        <v>45704</v>
      </c>
      <c r="H89" t="s">
        <v>318</v>
      </c>
      <c r="I89" t="s">
        <v>319</v>
      </c>
      <c r="K89">
        <f>COUNTIF(Sheet1!A:A,'2025_discovered_ijs_competition'!B89)</f>
        <v>0</v>
      </c>
    </row>
    <row r="90" spans="1:11" x14ac:dyDescent="0.2">
      <c r="A90">
        <v>2025</v>
      </c>
      <c r="B90">
        <v>35793</v>
      </c>
      <c r="C90" t="s">
        <v>320</v>
      </c>
      <c r="D90">
        <v>200</v>
      </c>
      <c r="E90" t="s">
        <v>321</v>
      </c>
      <c r="F90" s="1">
        <v>45807</v>
      </c>
      <c r="G90" s="1">
        <v>45809</v>
      </c>
      <c r="H90" t="s">
        <v>322</v>
      </c>
      <c r="I90" t="s">
        <v>319</v>
      </c>
      <c r="K90">
        <f>COUNTIF(Sheet1!A:A,'2025_discovered_ijs_competition'!B90)</f>
        <v>0</v>
      </c>
    </row>
    <row r="91" spans="1:11" x14ac:dyDescent="0.2">
      <c r="A91">
        <v>2025</v>
      </c>
      <c r="B91">
        <v>35795</v>
      </c>
      <c r="C91" t="s">
        <v>323</v>
      </c>
      <c r="D91">
        <v>200</v>
      </c>
      <c r="E91" t="s">
        <v>324</v>
      </c>
      <c r="F91" s="1">
        <v>45826</v>
      </c>
      <c r="G91" s="1">
        <v>45830</v>
      </c>
      <c r="H91" t="s">
        <v>325</v>
      </c>
      <c r="I91" t="s">
        <v>326</v>
      </c>
      <c r="K91">
        <f>COUNTIF(Sheet1!A:A,'2025_discovered_ijs_competition'!B91)</f>
        <v>0</v>
      </c>
    </row>
    <row r="92" spans="1:11" x14ac:dyDescent="0.2">
      <c r="A92">
        <v>2025</v>
      </c>
      <c r="B92">
        <v>35798</v>
      </c>
      <c r="C92" t="s">
        <v>327</v>
      </c>
      <c r="D92">
        <v>200</v>
      </c>
      <c r="E92" t="s">
        <v>328</v>
      </c>
      <c r="F92" s="1">
        <v>45819</v>
      </c>
      <c r="G92" s="1">
        <v>45822</v>
      </c>
      <c r="H92" t="s">
        <v>329</v>
      </c>
      <c r="I92" t="s">
        <v>330</v>
      </c>
      <c r="K92">
        <f>COUNTIF(Sheet1!A:A,'2025_discovered_ijs_competition'!B92)</f>
        <v>0</v>
      </c>
    </row>
    <row r="93" spans="1:11" x14ac:dyDescent="0.2">
      <c r="A93">
        <v>2025</v>
      </c>
      <c r="B93">
        <v>35799</v>
      </c>
      <c r="C93" t="s">
        <v>331</v>
      </c>
      <c r="D93">
        <v>200</v>
      </c>
      <c r="E93" t="s">
        <v>332</v>
      </c>
      <c r="F93" s="1">
        <v>45666</v>
      </c>
      <c r="G93" s="1">
        <v>45669</v>
      </c>
      <c r="H93" t="s">
        <v>333</v>
      </c>
      <c r="I93" t="s">
        <v>330</v>
      </c>
      <c r="K93">
        <f>COUNTIF(Sheet1!A:A,'2025_discovered_ijs_competition'!B93)</f>
        <v>0</v>
      </c>
    </row>
    <row r="94" spans="1:11" hidden="1" x14ac:dyDescent="0.2">
      <c r="A94">
        <v>2025</v>
      </c>
      <c r="B94">
        <v>35800</v>
      </c>
      <c r="C94" t="s">
        <v>334</v>
      </c>
      <c r="D94">
        <v>200</v>
      </c>
      <c r="E94" t="s">
        <v>335</v>
      </c>
      <c r="F94" s="1">
        <v>45704</v>
      </c>
      <c r="G94" s="1">
        <v>45705</v>
      </c>
      <c r="H94" t="s">
        <v>31</v>
      </c>
      <c r="I94" t="s">
        <v>330</v>
      </c>
      <c r="K94">
        <f>COUNTIF(Sheet1!A:A,'2025_discovered_ijs_competition'!B94)</f>
        <v>1</v>
      </c>
    </row>
    <row r="95" spans="1:11" x14ac:dyDescent="0.2">
      <c r="A95">
        <v>2025</v>
      </c>
      <c r="B95">
        <v>35801</v>
      </c>
      <c r="C95" t="s">
        <v>336</v>
      </c>
      <c r="D95">
        <v>200</v>
      </c>
      <c r="E95" t="s">
        <v>337</v>
      </c>
      <c r="F95" s="1">
        <v>45723</v>
      </c>
      <c r="G95" s="1">
        <v>45725</v>
      </c>
      <c r="H95" t="s">
        <v>338</v>
      </c>
      <c r="I95" t="s">
        <v>339</v>
      </c>
      <c r="K95">
        <f>COUNTIF(Sheet1!A:A,'2025_discovered_ijs_competition'!B95)</f>
        <v>0</v>
      </c>
    </row>
    <row r="96" spans="1:11" x14ac:dyDescent="0.2">
      <c r="A96">
        <v>2025</v>
      </c>
      <c r="B96">
        <v>35803</v>
      </c>
      <c r="C96" t="s">
        <v>340</v>
      </c>
      <c r="D96">
        <v>200</v>
      </c>
      <c r="E96" t="s">
        <v>341</v>
      </c>
      <c r="F96" s="1">
        <v>45744</v>
      </c>
      <c r="G96" s="1">
        <v>45745</v>
      </c>
      <c r="H96" t="s">
        <v>342</v>
      </c>
      <c r="I96" t="s">
        <v>339</v>
      </c>
      <c r="K96">
        <f>COUNTIF(Sheet1!A:A,'2025_discovered_ijs_competition'!B96)</f>
        <v>0</v>
      </c>
    </row>
    <row r="97" spans="1:11" x14ac:dyDescent="0.2">
      <c r="A97">
        <v>2025</v>
      </c>
      <c r="B97">
        <v>35807</v>
      </c>
      <c r="C97" t="s">
        <v>343</v>
      </c>
      <c r="D97">
        <v>200</v>
      </c>
      <c r="E97" t="s">
        <v>344</v>
      </c>
      <c r="F97" s="1">
        <v>45716</v>
      </c>
      <c r="G97" s="1">
        <v>45718</v>
      </c>
      <c r="H97" t="s">
        <v>345</v>
      </c>
      <c r="I97" t="s">
        <v>346</v>
      </c>
      <c r="K97">
        <f>COUNTIF(Sheet1!A:A,'2025_discovered_ijs_competition'!B97)</f>
        <v>0</v>
      </c>
    </row>
    <row r="98" spans="1:11" x14ac:dyDescent="0.2">
      <c r="A98">
        <v>2025</v>
      </c>
      <c r="B98">
        <v>35810</v>
      </c>
      <c r="C98" t="s">
        <v>347</v>
      </c>
      <c r="D98">
        <v>200</v>
      </c>
      <c r="E98" t="s">
        <v>348</v>
      </c>
      <c r="F98" s="1">
        <v>45780</v>
      </c>
      <c r="G98" s="1">
        <v>45781</v>
      </c>
      <c r="H98" t="s">
        <v>349</v>
      </c>
      <c r="I98" t="s">
        <v>350</v>
      </c>
      <c r="K98">
        <f>COUNTIF(Sheet1!A:A,'2025_discovered_ijs_competition'!B98)</f>
        <v>0</v>
      </c>
    </row>
    <row r="99" spans="1:11" x14ac:dyDescent="0.2">
      <c r="A99">
        <v>2025</v>
      </c>
      <c r="B99">
        <v>35811</v>
      </c>
      <c r="C99" t="s">
        <v>351</v>
      </c>
      <c r="D99">
        <v>200</v>
      </c>
      <c r="E99" t="s">
        <v>352</v>
      </c>
      <c r="F99" s="1">
        <v>45750</v>
      </c>
      <c r="G99" s="1">
        <v>45753</v>
      </c>
      <c r="H99" t="s">
        <v>353</v>
      </c>
      <c r="I99" t="s">
        <v>350</v>
      </c>
      <c r="K99">
        <f>COUNTIF(Sheet1!A:A,'2025_discovered_ijs_competition'!B99)</f>
        <v>0</v>
      </c>
    </row>
    <row r="100" spans="1:11" x14ac:dyDescent="0.2">
      <c r="A100">
        <v>2025</v>
      </c>
      <c r="B100">
        <v>35813</v>
      </c>
      <c r="C100" t="s">
        <v>354</v>
      </c>
      <c r="D100">
        <v>200</v>
      </c>
      <c r="E100" t="s">
        <v>355</v>
      </c>
      <c r="F100" s="1">
        <v>45731</v>
      </c>
      <c r="G100" s="1">
        <v>45731</v>
      </c>
      <c r="H100" t="s">
        <v>356</v>
      </c>
      <c r="I100" t="s">
        <v>357</v>
      </c>
      <c r="K100">
        <f>COUNTIF(Sheet1!A:A,'2025_discovered_ijs_competition'!B100)</f>
        <v>0</v>
      </c>
    </row>
    <row r="101" spans="1:11" x14ac:dyDescent="0.2">
      <c r="A101">
        <v>2025</v>
      </c>
      <c r="B101">
        <v>35815</v>
      </c>
      <c r="C101" t="s">
        <v>358</v>
      </c>
      <c r="D101">
        <v>200</v>
      </c>
      <c r="E101" t="s">
        <v>359</v>
      </c>
      <c r="F101" s="1">
        <v>45737</v>
      </c>
      <c r="G101" s="1">
        <v>45739</v>
      </c>
      <c r="H101" t="s">
        <v>360</v>
      </c>
      <c r="I101" t="s">
        <v>361</v>
      </c>
      <c r="K101">
        <f>COUNTIF(Sheet1!A:A,'2025_discovered_ijs_competition'!B101)</f>
        <v>0</v>
      </c>
    </row>
    <row r="102" spans="1:11" x14ac:dyDescent="0.2">
      <c r="A102">
        <v>2025</v>
      </c>
      <c r="B102">
        <v>35816</v>
      </c>
      <c r="C102" t="s">
        <v>362</v>
      </c>
      <c r="D102">
        <v>200</v>
      </c>
      <c r="E102" t="s">
        <v>363</v>
      </c>
      <c r="F102" s="1">
        <v>45710</v>
      </c>
      <c r="G102" s="1">
        <v>45711</v>
      </c>
      <c r="H102" t="s">
        <v>246</v>
      </c>
      <c r="I102" t="s">
        <v>361</v>
      </c>
      <c r="K102">
        <f>COUNTIF(Sheet1!A:A,'2025_discovered_ijs_competition'!B102)</f>
        <v>0</v>
      </c>
    </row>
    <row r="103" spans="1:11" x14ac:dyDescent="0.2">
      <c r="A103">
        <v>2025</v>
      </c>
      <c r="B103">
        <v>35819</v>
      </c>
      <c r="C103" t="s">
        <v>364</v>
      </c>
      <c r="D103">
        <v>200</v>
      </c>
      <c r="E103" t="s">
        <v>365</v>
      </c>
      <c r="F103" s="1">
        <v>45759</v>
      </c>
      <c r="G103" s="1">
        <v>45760</v>
      </c>
      <c r="H103" t="s">
        <v>366</v>
      </c>
      <c r="I103" t="s">
        <v>367</v>
      </c>
      <c r="K103">
        <f>COUNTIF(Sheet1!A:A,'2025_discovered_ijs_competition'!B103)</f>
        <v>0</v>
      </c>
    </row>
    <row r="104" spans="1:11" hidden="1" x14ac:dyDescent="0.2">
      <c r="A104">
        <v>2025</v>
      </c>
      <c r="B104">
        <v>35821</v>
      </c>
      <c r="C104" t="s">
        <v>368</v>
      </c>
      <c r="D104">
        <v>200</v>
      </c>
      <c r="E104" t="s">
        <v>369</v>
      </c>
      <c r="F104" s="1">
        <v>45918</v>
      </c>
      <c r="G104" s="1">
        <v>45920</v>
      </c>
      <c r="H104" t="s">
        <v>370</v>
      </c>
      <c r="I104" t="s">
        <v>367</v>
      </c>
      <c r="K104">
        <f>COUNTIF(Sheet1!A:A,'2025_discovered_ijs_competition'!B104)</f>
        <v>1</v>
      </c>
    </row>
    <row r="105" spans="1:11" x14ac:dyDescent="0.2">
      <c r="A105">
        <v>2025</v>
      </c>
      <c r="B105">
        <v>35822</v>
      </c>
      <c r="C105" t="s">
        <v>371</v>
      </c>
      <c r="D105">
        <v>200</v>
      </c>
      <c r="E105" t="s">
        <v>372</v>
      </c>
      <c r="F105" s="1">
        <v>45779</v>
      </c>
      <c r="G105" s="1">
        <v>45781</v>
      </c>
      <c r="H105" t="s">
        <v>373</v>
      </c>
      <c r="I105" t="s">
        <v>367</v>
      </c>
      <c r="K105">
        <f>COUNTIF(Sheet1!A:A,'2025_discovered_ijs_competition'!B105)</f>
        <v>0</v>
      </c>
    </row>
    <row r="106" spans="1:11" x14ac:dyDescent="0.2">
      <c r="A106">
        <v>2025</v>
      </c>
      <c r="B106">
        <v>35825</v>
      </c>
      <c r="C106" t="s">
        <v>374</v>
      </c>
      <c r="D106">
        <v>200</v>
      </c>
      <c r="E106" t="s">
        <v>375</v>
      </c>
      <c r="F106" s="1">
        <v>45855</v>
      </c>
      <c r="G106" s="1">
        <v>45858</v>
      </c>
      <c r="H106" t="s">
        <v>376</v>
      </c>
      <c r="I106" t="s">
        <v>377</v>
      </c>
      <c r="K106">
        <f>COUNTIF(Sheet1!A:A,'2025_discovered_ijs_competition'!B106)</f>
        <v>0</v>
      </c>
    </row>
    <row r="107" spans="1:11" x14ac:dyDescent="0.2">
      <c r="A107">
        <v>2025</v>
      </c>
      <c r="B107">
        <v>35827</v>
      </c>
      <c r="C107" t="s">
        <v>378</v>
      </c>
      <c r="D107">
        <v>200</v>
      </c>
      <c r="E107" t="s">
        <v>379</v>
      </c>
      <c r="F107" s="1">
        <v>45680</v>
      </c>
      <c r="G107" s="1">
        <v>45683</v>
      </c>
      <c r="H107" t="s">
        <v>380</v>
      </c>
      <c r="I107" t="s">
        <v>381</v>
      </c>
      <c r="K107">
        <f>COUNTIF(Sheet1!A:A,'2025_discovered_ijs_competition'!B107)</f>
        <v>0</v>
      </c>
    </row>
    <row r="108" spans="1:11" x14ac:dyDescent="0.2">
      <c r="A108">
        <v>2025</v>
      </c>
      <c r="B108">
        <v>35828</v>
      </c>
      <c r="C108" t="s">
        <v>382</v>
      </c>
      <c r="D108">
        <v>200</v>
      </c>
      <c r="E108" t="s">
        <v>383</v>
      </c>
      <c r="F108" s="1">
        <v>45857</v>
      </c>
      <c r="G108" s="1">
        <v>45858</v>
      </c>
      <c r="H108" t="s">
        <v>384</v>
      </c>
      <c r="I108" t="s">
        <v>381</v>
      </c>
      <c r="K108">
        <f>COUNTIF(Sheet1!A:A,'2025_discovered_ijs_competition'!B108)</f>
        <v>0</v>
      </c>
    </row>
    <row r="109" spans="1:11" x14ac:dyDescent="0.2">
      <c r="A109">
        <v>2025</v>
      </c>
      <c r="B109">
        <v>35838</v>
      </c>
      <c r="C109" t="s">
        <v>385</v>
      </c>
      <c r="D109">
        <v>200</v>
      </c>
      <c r="E109" t="s">
        <v>386</v>
      </c>
      <c r="F109" s="1">
        <v>45731</v>
      </c>
      <c r="G109" s="1">
        <v>45732</v>
      </c>
      <c r="H109" t="s">
        <v>70</v>
      </c>
      <c r="I109" t="s">
        <v>387</v>
      </c>
      <c r="K109">
        <f>COUNTIF(Sheet1!A:A,'2025_discovered_ijs_competition'!B109)</f>
        <v>0</v>
      </c>
    </row>
    <row r="110" spans="1:11" x14ac:dyDescent="0.2">
      <c r="A110">
        <v>2025</v>
      </c>
      <c r="B110">
        <v>35839</v>
      </c>
      <c r="C110" t="s">
        <v>388</v>
      </c>
      <c r="D110">
        <v>200</v>
      </c>
      <c r="E110" t="s">
        <v>389</v>
      </c>
      <c r="F110" s="1">
        <v>45792</v>
      </c>
      <c r="G110" s="1">
        <v>45795</v>
      </c>
      <c r="H110" t="s">
        <v>390</v>
      </c>
      <c r="I110" t="s">
        <v>387</v>
      </c>
      <c r="K110">
        <f>COUNTIF(Sheet1!A:A,'2025_discovered_ijs_competition'!B110)</f>
        <v>0</v>
      </c>
    </row>
    <row r="111" spans="1:11" x14ac:dyDescent="0.2">
      <c r="A111">
        <v>2025</v>
      </c>
      <c r="B111">
        <v>35845</v>
      </c>
      <c r="C111" t="s">
        <v>391</v>
      </c>
      <c r="D111">
        <v>200</v>
      </c>
      <c r="E111" t="s">
        <v>392</v>
      </c>
      <c r="F111" s="1">
        <v>45724</v>
      </c>
      <c r="G111" s="1">
        <v>45725</v>
      </c>
      <c r="H111" t="s">
        <v>393</v>
      </c>
      <c r="I111" t="s">
        <v>394</v>
      </c>
      <c r="K111">
        <f>COUNTIF(Sheet1!A:A,'2025_discovered_ijs_competition'!B111)</f>
        <v>0</v>
      </c>
    </row>
    <row r="112" spans="1:11" x14ac:dyDescent="0.2">
      <c r="A112">
        <v>2025</v>
      </c>
      <c r="B112">
        <v>35846</v>
      </c>
      <c r="C112" t="s">
        <v>395</v>
      </c>
      <c r="D112">
        <v>200</v>
      </c>
      <c r="E112" t="s">
        <v>396</v>
      </c>
      <c r="F112" s="1">
        <v>45771</v>
      </c>
      <c r="G112" s="1">
        <v>45774</v>
      </c>
      <c r="H112" t="s">
        <v>397</v>
      </c>
      <c r="I112" t="s">
        <v>394</v>
      </c>
      <c r="K112">
        <f>COUNTIF(Sheet1!A:A,'2025_discovered_ijs_competition'!B112)</f>
        <v>0</v>
      </c>
    </row>
    <row r="113" spans="1:11" x14ac:dyDescent="0.2">
      <c r="A113">
        <v>2025</v>
      </c>
      <c r="B113">
        <v>35847</v>
      </c>
      <c r="C113" t="s">
        <v>398</v>
      </c>
      <c r="D113">
        <v>200</v>
      </c>
      <c r="E113" t="s">
        <v>399</v>
      </c>
      <c r="F113" s="1">
        <v>45759</v>
      </c>
      <c r="G113" s="1">
        <v>45760</v>
      </c>
      <c r="H113" t="s">
        <v>123</v>
      </c>
      <c r="I113" t="s">
        <v>400</v>
      </c>
      <c r="K113">
        <f>COUNTIF(Sheet1!A:A,'2025_discovered_ijs_competition'!B113)</f>
        <v>0</v>
      </c>
    </row>
    <row r="114" spans="1:11" x14ac:dyDescent="0.2">
      <c r="A114">
        <v>2025</v>
      </c>
      <c r="B114">
        <v>35848</v>
      </c>
      <c r="C114" t="s">
        <v>401</v>
      </c>
      <c r="D114">
        <v>200</v>
      </c>
      <c r="E114" t="s">
        <v>402</v>
      </c>
      <c r="F114" s="1">
        <v>45884</v>
      </c>
      <c r="G114" s="1">
        <v>45886</v>
      </c>
      <c r="H114" t="s">
        <v>329</v>
      </c>
      <c r="I114" t="s">
        <v>400</v>
      </c>
      <c r="K114">
        <f>COUNTIF(Sheet1!A:A,'2025_discovered_ijs_competition'!B114)</f>
        <v>0</v>
      </c>
    </row>
    <row r="115" spans="1:11" x14ac:dyDescent="0.2">
      <c r="A115">
        <v>2025</v>
      </c>
      <c r="B115">
        <v>35850</v>
      </c>
      <c r="C115" t="s">
        <v>403</v>
      </c>
      <c r="D115">
        <v>200</v>
      </c>
      <c r="E115" t="s">
        <v>404</v>
      </c>
      <c r="F115" s="1">
        <v>45933</v>
      </c>
      <c r="G115" s="1">
        <v>45935</v>
      </c>
      <c r="H115" t="s">
        <v>405</v>
      </c>
      <c r="I115" t="s">
        <v>400</v>
      </c>
      <c r="K115">
        <f>COUNTIF(Sheet1!A:A,'2025_discovered_ijs_competition'!B115)</f>
        <v>0</v>
      </c>
    </row>
    <row r="116" spans="1:11" x14ac:dyDescent="0.2">
      <c r="A116">
        <v>2025</v>
      </c>
      <c r="B116">
        <v>35853</v>
      </c>
      <c r="C116" t="s">
        <v>406</v>
      </c>
      <c r="D116">
        <v>200</v>
      </c>
      <c r="E116" t="s">
        <v>407</v>
      </c>
      <c r="F116" s="1">
        <v>45759</v>
      </c>
      <c r="G116" s="1">
        <v>45760</v>
      </c>
      <c r="H116" t="s">
        <v>408</v>
      </c>
      <c r="I116" t="s">
        <v>409</v>
      </c>
      <c r="K116">
        <f>COUNTIF(Sheet1!A:A,'2025_discovered_ijs_competition'!B116)</f>
        <v>0</v>
      </c>
    </row>
    <row r="117" spans="1:11" x14ac:dyDescent="0.2">
      <c r="A117">
        <v>2025</v>
      </c>
      <c r="B117">
        <v>35854</v>
      </c>
      <c r="C117" t="s">
        <v>410</v>
      </c>
      <c r="D117">
        <v>200</v>
      </c>
      <c r="E117" t="s">
        <v>411</v>
      </c>
      <c r="F117" s="1">
        <v>45757</v>
      </c>
      <c r="G117" s="1">
        <v>45759</v>
      </c>
      <c r="H117" t="s">
        <v>412</v>
      </c>
      <c r="I117" t="s">
        <v>409</v>
      </c>
      <c r="K117">
        <f>COUNTIF(Sheet1!A:A,'2025_discovered_ijs_competition'!B117)</f>
        <v>0</v>
      </c>
    </row>
    <row r="118" spans="1:11" x14ac:dyDescent="0.2">
      <c r="A118">
        <v>2025</v>
      </c>
      <c r="B118">
        <v>35855</v>
      </c>
      <c r="C118" t="s">
        <v>413</v>
      </c>
      <c r="D118">
        <v>200</v>
      </c>
      <c r="E118" t="s">
        <v>414</v>
      </c>
      <c r="F118" s="1">
        <v>45743</v>
      </c>
      <c r="G118" s="1">
        <v>45746</v>
      </c>
      <c r="H118" t="s">
        <v>415</v>
      </c>
      <c r="I118" t="s">
        <v>416</v>
      </c>
      <c r="K118">
        <f>COUNTIF(Sheet1!A:A,'2025_discovered_ijs_competition'!B118)</f>
        <v>0</v>
      </c>
    </row>
    <row r="119" spans="1:11" x14ac:dyDescent="0.2">
      <c r="A119">
        <v>2025</v>
      </c>
      <c r="B119">
        <v>35856</v>
      </c>
      <c r="C119" t="s">
        <v>417</v>
      </c>
      <c r="D119">
        <v>200</v>
      </c>
      <c r="E119" t="s">
        <v>418</v>
      </c>
      <c r="F119" s="1">
        <v>45695</v>
      </c>
      <c r="G119" s="1">
        <v>45697</v>
      </c>
      <c r="H119" t="s">
        <v>419</v>
      </c>
      <c r="I119" t="s">
        <v>416</v>
      </c>
      <c r="K119">
        <f>COUNTIF(Sheet1!A:A,'2025_discovered_ijs_competition'!B119)</f>
        <v>0</v>
      </c>
    </row>
    <row r="120" spans="1:11" x14ac:dyDescent="0.2">
      <c r="A120">
        <v>2025</v>
      </c>
      <c r="B120">
        <v>35857</v>
      </c>
      <c r="C120" t="s">
        <v>420</v>
      </c>
      <c r="D120">
        <v>200</v>
      </c>
      <c r="E120" t="s">
        <v>421</v>
      </c>
      <c r="F120" s="1">
        <v>45779</v>
      </c>
      <c r="G120" s="1">
        <v>45781</v>
      </c>
      <c r="H120" t="s">
        <v>422</v>
      </c>
      <c r="I120" t="s">
        <v>416</v>
      </c>
      <c r="K120">
        <f>COUNTIF(Sheet1!A:A,'2025_discovered_ijs_competition'!B120)</f>
        <v>0</v>
      </c>
    </row>
    <row r="121" spans="1:11" x14ac:dyDescent="0.2">
      <c r="A121">
        <v>2025</v>
      </c>
      <c r="B121">
        <v>35859</v>
      </c>
      <c r="C121" t="s">
        <v>423</v>
      </c>
      <c r="D121">
        <v>200</v>
      </c>
      <c r="E121" t="s">
        <v>424</v>
      </c>
      <c r="F121" s="1">
        <v>45772</v>
      </c>
      <c r="G121" s="1">
        <v>45774</v>
      </c>
      <c r="H121" t="s">
        <v>425</v>
      </c>
      <c r="I121" t="s">
        <v>426</v>
      </c>
      <c r="K121">
        <f>COUNTIF(Sheet1!A:A,'2025_discovered_ijs_competition'!B121)</f>
        <v>0</v>
      </c>
    </row>
    <row r="122" spans="1:11" x14ac:dyDescent="0.2">
      <c r="A122">
        <v>2025</v>
      </c>
      <c r="B122">
        <v>35863</v>
      </c>
      <c r="C122" t="s">
        <v>427</v>
      </c>
      <c r="D122">
        <v>200</v>
      </c>
      <c r="E122" t="s">
        <v>428</v>
      </c>
      <c r="F122" s="1">
        <v>45722</v>
      </c>
      <c r="G122" s="1">
        <v>45725</v>
      </c>
      <c r="H122" t="s">
        <v>429</v>
      </c>
      <c r="I122" t="s">
        <v>430</v>
      </c>
      <c r="K122">
        <f>COUNTIF(Sheet1!A:A,'2025_discovered_ijs_competition'!B122)</f>
        <v>0</v>
      </c>
    </row>
    <row r="123" spans="1:11" x14ac:dyDescent="0.2">
      <c r="A123">
        <v>2025</v>
      </c>
      <c r="B123">
        <v>35866</v>
      </c>
      <c r="C123" t="s">
        <v>431</v>
      </c>
      <c r="D123">
        <v>200</v>
      </c>
      <c r="E123" t="s">
        <v>432</v>
      </c>
      <c r="F123" s="1">
        <v>45702</v>
      </c>
      <c r="G123" s="1">
        <v>45704</v>
      </c>
      <c r="H123" t="s">
        <v>433</v>
      </c>
      <c r="I123" t="s">
        <v>434</v>
      </c>
      <c r="K123">
        <f>COUNTIF(Sheet1!A:A,'2025_discovered_ijs_competition'!B123)</f>
        <v>0</v>
      </c>
    </row>
    <row r="124" spans="1:11" x14ac:dyDescent="0.2">
      <c r="A124">
        <v>2025</v>
      </c>
      <c r="B124">
        <v>35868</v>
      </c>
      <c r="C124" t="s">
        <v>435</v>
      </c>
      <c r="D124">
        <v>200</v>
      </c>
      <c r="E124" t="s">
        <v>436</v>
      </c>
      <c r="F124" s="1">
        <v>45759</v>
      </c>
      <c r="G124" s="1">
        <v>45760</v>
      </c>
      <c r="H124" t="s">
        <v>437</v>
      </c>
      <c r="I124" t="s">
        <v>434</v>
      </c>
      <c r="K124">
        <f>COUNTIF(Sheet1!A:A,'2025_discovered_ijs_competition'!B124)</f>
        <v>0</v>
      </c>
    </row>
    <row r="125" spans="1:11" hidden="1" x14ac:dyDescent="0.2">
      <c r="A125">
        <v>2025</v>
      </c>
      <c r="B125">
        <v>35869</v>
      </c>
      <c r="C125" t="s">
        <v>438</v>
      </c>
      <c r="D125">
        <v>200</v>
      </c>
      <c r="E125" t="s">
        <v>439</v>
      </c>
      <c r="F125" s="1">
        <v>45883</v>
      </c>
      <c r="G125" s="1">
        <v>45886</v>
      </c>
      <c r="H125" t="s">
        <v>429</v>
      </c>
      <c r="I125" t="s">
        <v>440</v>
      </c>
      <c r="K125">
        <f>COUNTIF(Sheet1!A:A,'2025_discovered_ijs_competition'!B125)</f>
        <v>1</v>
      </c>
    </row>
    <row r="126" spans="1:11" x14ac:dyDescent="0.2">
      <c r="A126">
        <v>2025</v>
      </c>
      <c r="B126">
        <v>35870</v>
      </c>
      <c r="C126" t="s">
        <v>441</v>
      </c>
      <c r="D126">
        <v>200</v>
      </c>
      <c r="E126" t="s">
        <v>442</v>
      </c>
      <c r="F126" s="1">
        <v>45875</v>
      </c>
      <c r="G126" s="1">
        <v>45879</v>
      </c>
      <c r="H126" t="s">
        <v>443</v>
      </c>
      <c r="I126" t="s">
        <v>440</v>
      </c>
      <c r="K126">
        <f>COUNTIF(Sheet1!A:A,'2025_discovered_ijs_competition'!B126)</f>
        <v>0</v>
      </c>
    </row>
    <row r="127" spans="1:11" x14ac:dyDescent="0.2">
      <c r="A127">
        <v>2025</v>
      </c>
      <c r="B127">
        <v>35872</v>
      </c>
      <c r="C127" t="s">
        <v>444</v>
      </c>
      <c r="D127">
        <v>200</v>
      </c>
      <c r="E127" t="s">
        <v>445</v>
      </c>
      <c r="F127" s="1">
        <v>45779</v>
      </c>
      <c r="G127" s="1">
        <v>45781</v>
      </c>
      <c r="H127" t="s">
        <v>446</v>
      </c>
      <c r="I127" t="s">
        <v>447</v>
      </c>
      <c r="K127">
        <f>COUNTIF(Sheet1!A:A,'2025_discovered_ijs_competition'!B127)</f>
        <v>0</v>
      </c>
    </row>
    <row r="128" spans="1:11" x14ac:dyDescent="0.2">
      <c r="A128">
        <v>2025</v>
      </c>
      <c r="B128">
        <v>35875</v>
      </c>
      <c r="C128" t="s">
        <v>448</v>
      </c>
      <c r="D128">
        <v>200</v>
      </c>
      <c r="E128" t="s">
        <v>449</v>
      </c>
      <c r="F128" s="1">
        <v>45743</v>
      </c>
      <c r="G128" s="1">
        <v>45746</v>
      </c>
      <c r="H128" t="s">
        <v>450</v>
      </c>
      <c r="I128" t="s">
        <v>447</v>
      </c>
      <c r="K128">
        <f>COUNTIF(Sheet1!A:A,'2025_discovered_ijs_competition'!B128)</f>
        <v>0</v>
      </c>
    </row>
    <row r="129" spans="1:11" x14ac:dyDescent="0.2">
      <c r="A129">
        <v>2025</v>
      </c>
      <c r="B129">
        <v>35876</v>
      </c>
      <c r="C129" t="s">
        <v>451</v>
      </c>
      <c r="D129">
        <v>200</v>
      </c>
      <c r="E129" t="s">
        <v>452</v>
      </c>
      <c r="F129" s="1">
        <v>45709</v>
      </c>
      <c r="G129" s="1">
        <v>45711</v>
      </c>
      <c r="H129" t="s">
        <v>289</v>
      </c>
      <c r="I129" t="s">
        <v>453</v>
      </c>
      <c r="K129">
        <f>COUNTIF(Sheet1!A:A,'2025_discovered_ijs_competition'!B129)</f>
        <v>0</v>
      </c>
    </row>
    <row r="130" spans="1:11" x14ac:dyDescent="0.2">
      <c r="A130">
        <v>2025</v>
      </c>
      <c r="B130">
        <v>35877</v>
      </c>
      <c r="C130" t="s">
        <v>454</v>
      </c>
      <c r="D130">
        <v>200</v>
      </c>
      <c r="E130" t="s">
        <v>455</v>
      </c>
      <c r="F130" s="1">
        <v>45724</v>
      </c>
      <c r="G130" s="1">
        <v>45725</v>
      </c>
      <c r="H130" t="s">
        <v>456</v>
      </c>
      <c r="I130" t="s">
        <v>453</v>
      </c>
      <c r="K130">
        <f>COUNTIF(Sheet1!A:A,'2025_discovered_ijs_competition'!B130)</f>
        <v>0</v>
      </c>
    </row>
    <row r="131" spans="1:11" x14ac:dyDescent="0.2">
      <c r="A131">
        <v>2025</v>
      </c>
      <c r="B131">
        <v>35878</v>
      </c>
      <c r="C131" t="s">
        <v>457</v>
      </c>
      <c r="D131">
        <v>200</v>
      </c>
      <c r="E131" t="s">
        <v>458</v>
      </c>
      <c r="F131" s="1">
        <v>45786</v>
      </c>
      <c r="G131" s="1">
        <v>45787</v>
      </c>
      <c r="H131" t="s">
        <v>459</v>
      </c>
      <c r="I131" t="s">
        <v>453</v>
      </c>
      <c r="K131">
        <f>COUNTIF(Sheet1!A:A,'2025_discovered_ijs_competition'!B131)</f>
        <v>0</v>
      </c>
    </row>
    <row r="132" spans="1:11" x14ac:dyDescent="0.2">
      <c r="A132">
        <v>2025</v>
      </c>
      <c r="B132">
        <v>35881</v>
      </c>
      <c r="C132" t="s">
        <v>460</v>
      </c>
      <c r="D132">
        <v>200</v>
      </c>
      <c r="E132" t="s">
        <v>461</v>
      </c>
      <c r="F132" s="1">
        <v>45758</v>
      </c>
      <c r="G132" s="1">
        <v>45760</v>
      </c>
      <c r="H132" t="s">
        <v>462</v>
      </c>
      <c r="I132" t="s">
        <v>463</v>
      </c>
      <c r="K132">
        <f>COUNTIF(Sheet1!A:A,'2025_discovered_ijs_competition'!B132)</f>
        <v>0</v>
      </c>
    </row>
    <row r="133" spans="1:11" x14ac:dyDescent="0.2">
      <c r="A133">
        <v>2025</v>
      </c>
      <c r="B133">
        <v>35882</v>
      </c>
      <c r="C133" t="s">
        <v>464</v>
      </c>
      <c r="D133">
        <v>200</v>
      </c>
      <c r="E133" t="s">
        <v>465</v>
      </c>
      <c r="F133" s="1">
        <v>45772</v>
      </c>
      <c r="G133" s="1">
        <v>45774</v>
      </c>
      <c r="H133" t="s">
        <v>466</v>
      </c>
      <c r="I133" t="s">
        <v>463</v>
      </c>
      <c r="K133">
        <f>COUNTIF(Sheet1!A:A,'2025_discovered_ijs_competition'!B133)</f>
        <v>0</v>
      </c>
    </row>
    <row r="134" spans="1:11" x14ac:dyDescent="0.2">
      <c r="A134">
        <v>2025</v>
      </c>
      <c r="B134">
        <v>35884</v>
      </c>
      <c r="C134" t="s">
        <v>467</v>
      </c>
      <c r="D134">
        <v>200</v>
      </c>
      <c r="E134" t="s">
        <v>468</v>
      </c>
      <c r="F134" s="1">
        <v>45758</v>
      </c>
      <c r="G134" s="1">
        <v>45760</v>
      </c>
      <c r="H134" t="s">
        <v>469</v>
      </c>
      <c r="I134" t="s">
        <v>470</v>
      </c>
      <c r="K134">
        <f>COUNTIF(Sheet1!A:A,'2025_discovered_ijs_competition'!B134)</f>
        <v>0</v>
      </c>
    </row>
    <row r="135" spans="1:11" x14ac:dyDescent="0.2">
      <c r="A135">
        <v>2025</v>
      </c>
      <c r="B135">
        <v>35885</v>
      </c>
      <c r="C135" t="s">
        <v>471</v>
      </c>
      <c r="D135">
        <v>200</v>
      </c>
      <c r="E135" t="s">
        <v>472</v>
      </c>
      <c r="F135" s="1">
        <v>45940</v>
      </c>
      <c r="G135" s="1">
        <v>45942</v>
      </c>
      <c r="H135" t="s">
        <v>473</v>
      </c>
      <c r="I135" t="s">
        <v>470</v>
      </c>
      <c r="K135">
        <f>COUNTIF(Sheet1!A:A,'2025_discovered_ijs_competition'!B135)</f>
        <v>0</v>
      </c>
    </row>
    <row r="136" spans="1:11" x14ac:dyDescent="0.2">
      <c r="A136">
        <v>2025</v>
      </c>
      <c r="B136">
        <v>35888</v>
      </c>
      <c r="C136" t="s">
        <v>474</v>
      </c>
      <c r="D136">
        <v>200</v>
      </c>
      <c r="E136" t="s">
        <v>475</v>
      </c>
      <c r="F136" s="1">
        <v>45773</v>
      </c>
      <c r="G136" s="1">
        <v>45774</v>
      </c>
      <c r="H136" t="s">
        <v>476</v>
      </c>
      <c r="I136" t="s">
        <v>477</v>
      </c>
      <c r="K136">
        <f>COUNTIF(Sheet1!A:A,'2025_discovered_ijs_competition'!B136)</f>
        <v>0</v>
      </c>
    </row>
    <row r="137" spans="1:11" x14ac:dyDescent="0.2">
      <c r="A137">
        <v>2025</v>
      </c>
      <c r="B137">
        <v>35889</v>
      </c>
      <c r="C137" t="s">
        <v>478</v>
      </c>
      <c r="D137">
        <v>200</v>
      </c>
      <c r="E137" t="s">
        <v>479</v>
      </c>
      <c r="F137" s="1">
        <v>45905</v>
      </c>
      <c r="G137" s="1">
        <v>45906</v>
      </c>
      <c r="H137" t="s">
        <v>12</v>
      </c>
      <c r="I137" t="s">
        <v>477</v>
      </c>
      <c r="K137">
        <f>COUNTIF(Sheet1!A:A,'2025_discovered_ijs_competition'!B137)</f>
        <v>0</v>
      </c>
    </row>
    <row r="138" spans="1:11" hidden="1" x14ac:dyDescent="0.2">
      <c r="A138">
        <v>2025</v>
      </c>
      <c r="B138">
        <v>35890</v>
      </c>
      <c r="C138" t="s">
        <v>480</v>
      </c>
      <c r="D138">
        <v>200</v>
      </c>
      <c r="E138" t="s">
        <v>481</v>
      </c>
      <c r="F138" s="1">
        <v>45931</v>
      </c>
      <c r="G138" s="1">
        <v>45935</v>
      </c>
      <c r="H138" t="s">
        <v>249</v>
      </c>
      <c r="I138" t="s">
        <v>482</v>
      </c>
      <c r="K138">
        <f>COUNTIF(Sheet1!A:A,'2025_discovered_ijs_competition'!B138)</f>
        <v>1</v>
      </c>
    </row>
    <row r="139" spans="1:11" hidden="1" x14ac:dyDescent="0.2">
      <c r="A139">
        <v>2025</v>
      </c>
      <c r="B139">
        <v>35891</v>
      </c>
      <c r="C139" t="s">
        <v>483</v>
      </c>
      <c r="D139">
        <v>200</v>
      </c>
      <c r="E139" t="s">
        <v>484</v>
      </c>
      <c r="F139" s="1">
        <v>45873</v>
      </c>
      <c r="G139" s="1">
        <v>45877</v>
      </c>
      <c r="H139" t="s">
        <v>249</v>
      </c>
      <c r="I139" t="s">
        <v>482</v>
      </c>
      <c r="K139">
        <f>COUNTIF(Sheet1!A:A,'2025_discovered_ijs_competition'!B139)</f>
        <v>1</v>
      </c>
    </row>
    <row r="140" spans="1:11" x14ac:dyDescent="0.2">
      <c r="A140">
        <v>2025</v>
      </c>
      <c r="B140">
        <v>35892</v>
      </c>
      <c r="C140" t="s">
        <v>485</v>
      </c>
      <c r="D140">
        <v>200</v>
      </c>
      <c r="E140" t="s">
        <v>486</v>
      </c>
      <c r="F140" s="1">
        <v>45736</v>
      </c>
      <c r="G140" s="1">
        <v>45739</v>
      </c>
      <c r="H140" t="s">
        <v>487</v>
      </c>
      <c r="I140" t="s">
        <v>482</v>
      </c>
      <c r="K140">
        <f>COUNTIF(Sheet1!A:A,'2025_discovered_ijs_competition'!B140)</f>
        <v>0</v>
      </c>
    </row>
    <row r="141" spans="1:11" x14ac:dyDescent="0.2">
      <c r="A141">
        <v>2025</v>
      </c>
      <c r="B141">
        <v>35894</v>
      </c>
      <c r="C141" t="s">
        <v>488</v>
      </c>
      <c r="D141">
        <v>200</v>
      </c>
      <c r="E141" t="s">
        <v>489</v>
      </c>
      <c r="F141" s="1">
        <v>45883</v>
      </c>
      <c r="G141" s="1">
        <v>45886</v>
      </c>
      <c r="H141" t="s">
        <v>35</v>
      </c>
      <c r="I141" t="s">
        <v>490</v>
      </c>
      <c r="K141">
        <f>COUNTIF(Sheet1!A:A,'2025_discovered_ijs_competition'!B141)</f>
        <v>0</v>
      </c>
    </row>
    <row r="142" spans="1:11" hidden="1" x14ac:dyDescent="0.2">
      <c r="A142">
        <v>2025</v>
      </c>
      <c r="B142">
        <v>35895</v>
      </c>
      <c r="C142" t="s">
        <v>491</v>
      </c>
      <c r="D142">
        <v>200</v>
      </c>
      <c r="E142" t="s">
        <v>492</v>
      </c>
      <c r="F142" s="1">
        <v>45870</v>
      </c>
      <c r="G142" s="1">
        <v>45872</v>
      </c>
      <c r="H142" t="s">
        <v>59</v>
      </c>
      <c r="I142" t="s">
        <v>490</v>
      </c>
      <c r="K142">
        <f>COUNTIF(Sheet1!A:A,'2025_discovered_ijs_competition'!B142)</f>
        <v>1</v>
      </c>
    </row>
    <row r="143" spans="1:11" hidden="1" x14ac:dyDescent="0.2">
      <c r="A143">
        <v>2025</v>
      </c>
      <c r="B143">
        <v>35899</v>
      </c>
      <c r="C143" t="s">
        <v>493</v>
      </c>
      <c r="D143">
        <v>200</v>
      </c>
      <c r="E143" t="s">
        <v>494</v>
      </c>
      <c r="F143" s="1">
        <v>45771</v>
      </c>
      <c r="G143" s="1">
        <v>45774</v>
      </c>
      <c r="H143" t="s">
        <v>495</v>
      </c>
      <c r="I143" t="s">
        <v>496</v>
      </c>
      <c r="K143">
        <f>COUNTIF(Sheet1!A:A,'2025_discovered_ijs_competition'!B143)</f>
        <v>1</v>
      </c>
    </row>
    <row r="144" spans="1:11" hidden="1" x14ac:dyDescent="0.2">
      <c r="A144">
        <v>2025</v>
      </c>
      <c r="B144">
        <v>35900</v>
      </c>
      <c r="C144" t="s">
        <v>497</v>
      </c>
      <c r="D144">
        <v>200</v>
      </c>
      <c r="E144" t="s">
        <v>498</v>
      </c>
      <c r="F144" s="1">
        <v>45919</v>
      </c>
      <c r="G144" s="1">
        <v>45921</v>
      </c>
      <c r="H144" t="s">
        <v>499</v>
      </c>
      <c r="I144" t="s">
        <v>496</v>
      </c>
      <c r="K144">
        <f>COUNTIF(Sheet1!A:A,'2025_discovered_ijs_competition'!B144)</f>
        <v>1</v>
      </c>
    </row>
    <row r="145" spans="1:11" x14ac:dyDescent="0.2">
      <c r="A145">
        <v>2025</v>
      </c>
      <c r="B145">
        <v>35901</v>
      </c>
      <c r="C145" t="s">
        <v>500</v>
      </c>
      <c r="D145">
        <v>200</v>
      </c>
      <c r="E145" t="s">
        <v>501</v>
      </c>
      <c r="F145" s="1">
        <v>45752</v>
      </c>
      <c r="G145" s="1">
        <v>45753</v>
      </c>
      <c r="H145" t="s">
        <v>502</v>
      </c>
      <c r="I145" t="s">
        <v>496</v>
      </c>
      <c r="K145">
        <f>COUNTIF(Sheet1!A:A,'2025_discovered_ijs_competition'!B145)</f>
        <v>0</v>
      </c>
    </row>
    <row r="146" spans="1:11" x14ac:dyDescent="0.2">
      <c r="A146">
        <v>2025</v>
      </c>
      <c r="B146">
        <v>35904</v>
      </c>
      <c r="C146" t="s">
        <v>503</v>
      </c>
      <c r="D146">
        <v>200</v>
      </c>
      <c r="E146" t="s">
        <v>504</v>
      </c>
      <c r="F146" s="1">
        <v>45702</v>
      </c>
      <c r="G146" s="1">
        <v>45704</v>
      </c>
      <c r="H146" t="s">
        <v>505</v>
      </c>
      <c r="I146" t="s">
        <v>506</v>
      </c>
      <c r="K146">
        <f>COUNTIF(Sheet1!A:A,'2025_discovered_ijs_competition'!B146)</f>
        <v>0</v>
      </c>
    </row>
    <row r="147" spans="1:11" hidden="1" x14ac:dyDescent="0.2">
      <c r="A147">
        <v>2025</v>
      </c>
      <c r="B147">
        <v>35905</v>
      </c>
      <c r="C147" t="s">
        <v>507</v>
      </c>
      <c r="D147">
        <v>200</v>
      </c>
      <c r="E147" t="s">
        <v>508</v>
      </c>
      <c r="F147" s="1">
        <v>45890</v>
      </c>
      <c r="G147" s="1">
        <v>45893</v>
      </c>
      <c r="H147" t="s">
        <v>48</v>
      </c>
      <c r="I147" t="s">
        <v>506</v>
      </c>
      <c r="K147">
        <f>COUNTIF(Sheet1!A:A,'2025_discovered_ijs_competition'!B147)</f>
        <v>1</v>
      </c>
    </row>
    <row r="148" spans="1:11" x14ac:dyDescent="0.2">
      <c r="A148">
        <v>2025</v>
      </c>
      <c r="B148">
        <v>35906</v>
      </c>
      <c r="C148" t="s">
        <v>509</v>
      </c>
      <c r="D148">
        <v>200</v>
      </c>
      <c r="E148" t="s">
        <v>510</v>
      </c>
      <c r="F148" s="1">
        <v>45906</v>
      </c>
      <c r="G148" s="1">
        <v>45907</v>
      </c>
      <c r="H148" t="s">
        <v>511</v>
      </c>
      <c r="I148" t="s">
        <v>512</v>
      </c>
      <c r="K148">
        <f>COUNTIF(Sheet1!A:A,'2025_discovered_ijs_competition'!B148)</f>
        <v>0</v>
      </c>
    </row>
    <row r="149" spans="1:11" x14ac:dyDescent="0.2">
      <c r="A149">
        <v>2025</v>
      </c>
      <c r="B149">
        <v>35907</v>
      </c>
      <c r="C149" t="s">
        <v>513</v>
      </c>
      <c r="D149">
        <v>200</v>
      </c>
      <c r="E149" t="s">
        <v>514</v>
      </c>
      <c r="F149" s="1">
        <v>45687</v>
      </c>
      <c r="G149" s="1">
        <v>45690</v>
      </c>
      <c r="H149" t="s">
        <v>515</v>
      </c>
      <c r="I149" t="s">
        <v>512</v>
      </c>
      <c r="K149">
        <f>COUNTIF(Sheet1!A:A,'2025_discovered_ijs_competition'!B149)</f>
        <v>0</v>
      </c>
    </row>
    <row r="150" spans="1:11" x14ac:dyDescent="0.2">
      <c r="A150">
        <v>2025</v>
      </c>
      <c r="B150">
        <v>35910</v>
      </c>
      <c r="C150" t="s">
        <v>516</v>
      </c>
      <c r="D150">
        <v>200</v>
      </c>
      <c r="E150" t="s">
        <v>517</v>
      </c>
      <c r="F150" s="1">
        <v>45793</v>
      </c>
      <c r="G150" s="1">
        <v>45795</v>
      </c>
      <c r="H150" t="s">
        <v>518</v>
      </c>
      <c r="I150" t="s">
        <v>519</v>
      </c>
      <c r="K150">
        <f>COUNTIF(Sheet1!A:A,'2025_discovered_ijs_competition'!B150)</f>
        <v>0</v>
      </c>
    </row>
    <row r="151" spans="1:11" x14ac:dyDescent="0.2">
      <c r="A151">
        <v>2025</v>
      </c>
      <c r="B151">
        <v>35917</v>
      </c>
      <c r="C151" t="s">
        <v>520</v>
      </c>
      <c r="D151">
        <v>200</v>
      </c>
      <c r="E151" t="s">
        <v>521</v>
      </c>
      <c r="F151" s="1">
        <v>45704</v>
      </c>
      <c r="G151" s="1">
        <v>45704</v>
      </c>
      <c r="H151" t="s">
        <v>522</v>
      </c>
      <c r="I151" t="s">
        <v>523</v>
      </c>
      <c r="K151">
        <f>COUNTIF(Sheet1!A:A,'2025_discovered_ijs_competition'!B151)</f>
        <v>0</v>
      </c>
    </row>
    <row r="152" spans="1:11" x14ac:dyDescent="0.2">
      <c r="A152">
        <v>2025</v>
      </c>
      <c r="B152">
        <v>35922</v>
      </c>
      <c r="C152" t="s">
        <v>524</v>
      </c>
      <c r="D152">
        <v>200</v>
      </c>
      <c r="E152" t="s">
        <v>525</v>
      </c>
      <c r="F152" s="1">
        <v>45696</v>
      </c>
      <c r="G152" s="1">
        <v>45697</v>
      </c>
      <c r="H152" t="s">
        <v>526</v>
      </c>
      <c r="I152" t="s">
        <v>527</v>
      </c>
      <c r="K152">
        <f>COUNTIF(Sheet1!A:A,'2025_discovered_ijs_competition'!B152)</f>
        <v>0</v>
      </c>
    </row>
    <row r="153" spans="1:11" x14ac:dyDescent="0.2">
      <c r="A153">
        <v>2025</v>
      </c>
      <c r="B153">
        <v>35923</v>
      </c>
      <c r="C153" t="s">
        <v>528</v>
      </c>
      <c r="D153">
        <v>200</v>
      </c>
      <c r="E153" t="s">
        <v>529</v>
      </c>
      <c r="F153" s="1">
        <v>45856</v>
      </c>
      <c r="G153" s="1">
        <v>45858</v>
      </c>
      <c r="H153" t="s">
        <v>530</v>
      </c>
      <c r="I153" t="s">
        <v>531</v>
      </c>
      <c r="K153">
        <f>COUNTIF(Sheet1!A:A,'2025_discovered_ijs_competition'!B153)</f>
        <v>0</v>
      </c>
    </row>
    <row r="154" spans="1:11" x14ac:dyDescent="0.2">
      <c r="A154">
        <v>2025</v>
      </c>
      <c r="B154">
        <v>35925</v>
      </c>
      <c r="C154" t="s">
        <v>532</v>
      </c>
      <c r="D154">
        <v>200</v>
      </c>
      <c r="E154" t="s">
        <v>533</v>
      </c>
      <c r="F154" s="1">
        <v>45760</v>
      </c>
      <c r="G154" s="1">
        <v>45760</v>
      </c>
      <c r="H154" t="s">
        <v>170</v>
      </c>
      <c r="I154" t="s">
        <v>531</v>
      </c>
      <c r="K154">
        <f>COUNTIF(Sheet1!A:A,'2025_discovered_ijs_competition'!B154)</f>
        <v>0</v>
      </c>
    </row>
    <row r="155" spans="1:11" x14ac:dyDescent="0.2">
      <c r="A155">
        <v>2025</v>
      </c>
      <c r="B155">
        <v>35926</v>
      </c>
      <c r="C155" t="s">
        <v>534</v>
      </c>
      <c r="D155">
        <v>200</v>
      </c>
      <c r="E155" t="s">
        <v>535</v>
      </c>
      <c r="F155" s="1">
        <v>45704</v>
      </c>
      <c r="G155" s="1">
        <v>45704</v>
      </c>
      <c r="H155" t="s">
        <v>218</v>
      </c>
      <c r="I155" t="s">
        <v>531</v>
      </c>
      <c r="K155">
        <f>COUNTIF(Sheet1!A:A,'2025_discovered_ijs_competition'!B155)</f>
        <v>0</v>
      </c>
    </row>
    <row r="156" spans="1:11" x14ac:dyDescent="0.2">
      <c r="A156">
        <v>2025</v>
      </c>
      <c r="B156">
        <v>35929</v>
      </c>
      <c r="C156" t="s">
        <v>536</v>
      </c>
      <c r="D156">
        <v>200</v>
      </c>
      <c r="E156" t="s">
        <v>537</v>
      </c>
      <c r="F156" s="1">
        <v>45682</v>
      </c>
      <c r="G156" s="1">
        <v>45682</v>
      </c>
      <c r="H156" t="s">
        <v>538</v>
      </c>
      <c r="I156" t="s">
        <v>539</v>
      </c>
      <c r="K156">
        <f>COUNTIF(Sheet1!A:A,'2025_discovered_ijs_competition'!B156)</f>
        <v>0</v>
      </c>
    </row>
    <row r="157" spans="1:11" x14ac:dyDescent="0.2">
      <c r="A157">
        <v>2025</v>
      </c>
      <c r="B157">
        <v>35930</v>
      </c>
      <c r="C157" t="s">
        <v>540</v>
      </c>
      <c r="D157">
        <v>200</v>
      </c>
      <c r="E157" t="s">
        <v>541</v>
      </c>
      <c r="F157" s="1">
        <v>45910</v>
      </c>
      <c r="G157" s="1">
        <v>45914</v>
      </c>
      <c r="H157" t="s">
        <v>542</v>
      </c>
      <c r="I157" t="s">
        <v>539</v>
      </c>
      <c r="K157">
        <f>COUNTIF(Sheet1!A:A,'2025_discovered_ijs_competition'!B157)</f>
        <v>0</v>
      </c>
    </row>
    <row r="158" spans="1:11" x14ac:dyDescent="0.2">
      <c r="A158">
        <v>2025</v>
      </c>
      <c r="B158">
        <v>35939</v>
      </c>
      <c r="C158" t="s">
        <v>543</v>
      </c>
      <c r="D158">
        <v>200</v>
      </c>
      <c r="E158" t="s">
        <v>544</v>
      </c>
      <c r="F158" s="1">
        <v>45737</v>
      </c>
      <c r="G158" s="1">
        <v>45739</v>
      </c>
      <c r="H158" t="s">
        <v>545</v>
      </c>
      <c r="I158" t="s">
        <v>546</v>
      </c>
      <c r="K158">
        <f>COUNTIF(Sheet1!A:A,'2025_discovered_ijs_competition'!B158)</f>
        <v>0</v>
      </c>
    </row>
    <row r="159" spans="1:11" x14ac:dyDescent="0.2">
      <c r="A159">
        <v>2025</v>
      </c>
      <c r="B159">
        <v>35941</v>
      </c>
      <c r="C159" t="s">
        <v>547</v>
      </c>
      <c r="D159">
        <v>200</v>
      </c>
      <c r="E159" t="s">
        <v>548</v>
      </c>
      <c r="F159" s="1">
        <v>45807</v>
      </c>
      <c r="G159" s="1">
        <v>45809</v>
      </c>
      <c r="H159" t="s">
        <v>549</v>
      </c>
      <c r="I159" t="s">
        <v>550</v>
      </c>
      <c r="K159">
        <f>COUNTIF(Sheet1!A:A,'2025_discovered_ijs_competition'!B159)</f>
        <v>0</v>
      </c>
    </row>
    <row r="160" spans="1:11" x14ac:dyDescent="0.2">
      <c r="A160">
        <v>2025</v>
      </c>
      <c r="B160">
        <v>35942</v>
      </c>
      <c r="C160" t="s">
        <v>551</v>
      </c>
      <c r="D160">
        <v>200</v>
      </c>
      <c r="E160" t="s">
        <v>552</v>
      </c>
      <c r="F160" s="1">
        <v>45729</v>
      </c>
      <c r="G160" s="1">
        <v>45732</v>
      </c>
      <c r="H160" t="s">
        <v>553</v>
      </c>
      <c r="I160" t="s">
        <v>550</v>
      </c>
      <c r="K160">
        <f>COUNTIF(Sheet1!A:A,'2025_discovered_ijs_competition'!B160)</f>
        <v>0</v>
      </c>
    </row>
    <row r="161" spans="1:11" x14ac:dyDescent="0.2">
      <c r="A161">
        <v>2025</v>
      </c>
      <c r="B161">
        <v>35943</v>
      </c>
      <c r="C161" t="s">
        <v>554</v>
      </c>
      <c r="D161">
        <v>200</v>
      </c>
      <c r="E161" t="s">
        <v>555</v>
      </c>
      <c r="F161" s="1">
        <v>45722</v>
      </c>
      <c r="G161" s="1">
        <v>45725</v>
      </c>
      <c r="H161" t="s">
        <v>315</v>
      </c>
      <c r="I161" t="s">
        <v>556</v>
      </c>
      <c r="K161">
        <f>COUNTIF(Sheet1!A:A,'2025_discovered_ijs_competition'!B161)</f>
        <v>0</v>
      </c>
    </row>
    <row r="162" spans="1:11" x14ac:dyDescent="0.2">
      <c r="A162">
        <v>2025</v>
      </c>
      <c r="B162">
        <v>35945</v>
      </c>
      <c r="C162" t="s">
        <v>557</v>
      </c>
      <c r="D162">
        <v>200</v>
      </c>
      <c r="E162" t="s">
        <v>558</v>
      </c>
      <c r="F162" s="1">
        <v>45772</v>
      </c>
      <c r="G162" s="1">
        <v>45774</v>
      </c>
      <c r="H162" t="s">
        <v>559</v>
      </c>
      <c r="I162" t="s">
        <v>556</v>
      </c>
      <c r="K162">
        <f>COUNTIF(Sheet1!A:A,'2025_discovered_ijs_competition'!B162)</f>
        <v>0</v>
      </c>
    </row>
    <row r="163" spans="1:11" x14ac:dyDescent="0.2">
      <c r="A163">
        <v>2025</v>
      </c>
      <c r="B163">
        <v>35958</v>
      </c>
      <c r="C163" t="s">
        <v>560</v>
      </c>
      <c r="D163">
        <v>200</v>
      </c>
      <c r="E163" t="s">
        <v>561</v>
      </c>
      <c r="F163" s="1">
        <v>45737</v>
      </c>
      <c r="G163" s="1">
        <v>45739</v>
      </c>
      <c r="H163" t="s">
        <v>562</v>
      </c>
      <c r="I163" t="s">
        <v>563</v>
      </c>
      <c r="K163">
        <f>COUNTIF(Sheet1!A:A,'2025_discovered_ijs_competition'!B163)</f>
        <v>0</v>
      </c>
    </row>
    <row r="164" spans="1:11" x14ac:dyDescent="0.2">
      <c r="A164">
        <v>2025</v>
      </c>
      <c r="B164">
        <v>35970</v>
      </c>
      <c r="C164" t="s">
        <v>564</v>
      </c>
      <c r="D164">
        <v>200</v>
      </c>
      <c r="E164" t="s">
        <v>565</v>
      </c>
      <c r="F164" s="1">
        <v>45704</v>
      </c>
      <c r="G164" s="1">
        <v>45704</v>
      </c>
      <c r="H164" t="s">
        <v>566</v>
      </c>
      <c r="I164" t="s">
        <v>567</v>
      </c>
      <c r="K164">
        <f>COUNTIF(Sheet1!A:A,'2025_discovered_ijs_competition'!B164)</f>
        <v>0</v>
      </c>
    </row>
    <row r="165" spans="1:11" x14ac:dyDescent="0.2">
      <c r="A165">
        <v>2025</v>
      </c>
      <c r="B165">
        <v>35972</v>
      </c>
      <c r="C165" t="s">
        <v>568</v>
      </c>
      <c r="D165">
        <v>200</v>
      </c>
      <c r="E165" t="s">
        <v>569</v>
      </c>
      <c r="F165" s="1">
        <v>45751</v>
      </c>
      <c r="G165" s="1">
        <v>45753</v>
      </c>
      <c r="H165" t="s">
        <v>228</v>
      </c>
      <c r="I165" t="s">
        <v>570</v>
      </c>
      <c r="K165">
        <f>COUNTIF(Sheet1!A:A,'2025_discovered_ijs_competition'!B165)</f>
        <v>0</v>
      </c>
    </row>
    <row r="166" spans="1:11" x14ac:dyDescent="0.2">
      <c r="A166">
        <v>2025</v>
      </c>
      <c r="B166">
        <v>35981</v>
      </c>
      <c r="C166" t="s">
        <v>571</v>
      </c>
      <c r="D166">
        <v>200</v>
      </c>
      <c r="E166" t="s">
        <v>572</v>
      </c>
      <c r="F166" s="1">
        <v>45857</v>
      </c>
      <c r="G166" s="1">
        <v>45858</v>
      </c>
      <c r="H166" t="s">
        <v>573</v>
      </c>
      <c r="I166" t="s">
        <v>574</v>
      </c>
      <c r="K166">
        <f>COUNTIF(Sheet1!A:A,'2025_discovered_ijs_competition'!B166)</f>
        <v>0</v>
      </c>
    </row>
    <row r="167" spans="1:11" x14ac:dyDescent="0.2">
      <c r="A167">
        <v>2025</v>
      </c>
      <c r="B167">
        <v>35984</v>
      </c>
      <c r="C167" t="s">
        <v>575</v>
      </c>
      <c r="D167">
        <v>200</v>
      </c>
      <c r="E167" t="s">
        <v>576</v>
      </c>
      <c r="F167" s="1">
        <v>45729</v>
      </c>
      <c r="G167" s="1">
        <v>45731</v>
      </c>
      <c r="H167" t="s">
        <v>577</v>
      </c>
      <c r="I167" t="s">
        <v>574</v>
      </c>
      <c r="K167">
        <f>COUNTIF(Sheet1!A:A,'2025_discovered_ijs_competition'!B167)</f>
        <v>0</v>
      </c>
    </row>
    <row r="168" spans="1:11" x14ac:dyDescent="0.2">
      <c r="A168">
        <v>2025</v>
      </c>
      <c r="B168">
        <v>35987</v>
      </c>
      <c r="C168" t="s">
        <v>578</v>
      </c>
      <c r="D168">
        <v>200</v>
      </c>
      <c r="E168" t="s">
        <v>579</v>
      </c>
      <c r="F168" s="1">
        <v>45822</v>
      </c>
      <c r="G168" s="1">
        <v>45823</v>
      </c>
      <c r="H168" t="s">
        <v>580</v>
      </c>
      <c r="I168" t="s">
        <v>581</v>
      </c>
      <c r="K168">
        <f>COUNTIF(Sheet1!A:A,'2025_discovered_ijs_competition'!B168)</f>
        <v>0</v>
      </c>
    </row>
    <row r="169" spans="1:11" x14ac:dyDescent="0.2">
      <c r="A169">
        <v>2025</v>
      </c>
      <c r="B169">
        <v>35990</v>
      </c>
      <c r="C169" t="s">
        <v>582</v>
      </c>
      <c r="D169">
        <v>200</v>
      </c>
      <c r="E169" t="s">
        <v>583</v>
      </c>
      <c r="F169" s="1">
        <v>45697</v>
      </c>
      <c r="G169" s="1">
        <v>45697</v>
      </c>
      <c r="H169" t="s">
        <v>584</v>
      </c>
      <c r="I169" t="s">
        <v>585</v>
      </c>
      <c r="K169">
        <f>COUNTIF(Sheet1!A:A,'2025_discovered_ijs_competition'!B169)</f>
        <v>0</v>
      </c>
    </row>
    <row r="170" spans="1:11" x14ac:dyDescent="0.2">
      <c r="A170">
        <v>2025</v>
      </c>
      <c r="B170">
        <v>36001</v>
      </c>
      <c r="C170" t="s">
        <v>586</v>
      </c>
      <c r="D170">
        <v>200</v>
      </c>
      <c r="E170" t="s">
        <v>587</v>
      </c>
      <c r="F170" s="1">
        <v>45758</v>
      </c>
      <c r="G170" s="1">
        <v>45760</v>
      </c>
      <c r="H170" t="s">
        <v>588</v>
      </c>
      <c r="I170" t="s">
        <v>589</v>
      </c>
      <c r="K170">
        <f>COUNTIF(Sheet1!A:A,'2025_discovered_ijs_competition'!B170)</f>
        <v>0</v>
      </c>
    </row>
    <row r="171" spans="1:11" x14ac:dyDescent="0.2">
      <c r="A171">
        <v>2025</v>
      </c>
      <c r="B171">
        <v>36006</v>
      </c>
      <c r="C171" t="s">
        <v>590</v>
      </c>
      <c r="D171">
        <v>200</v>
      </c>
      <c r="E171" t="s">
        <v>591</v>
      </c>
      <c r="F171" s="1">
        <v>45750</v>
      </c>
      <c r="G171" s="1">
        <v>45753</v>
      </c>
      <c r="H171" t="s">
        <v>592</v>
      </c>
      <c r="I171" t="s">
        <v>593</v>
      </c>
      <c r="K171">
        <f>COUNTIF(Sheet1!A:A,'2025_discovered_ijs_competition'!B171)</f>
        <v>0</v>
      </c>
    </row>
    <row r="172" spans="1:11" x14ac:dyDescent="0.2">
      <c r="A172">
        <v>2025</v>
      </c>
      <c r="B172">
        <v>36035</v>
      </c>
      <c r="C172" t="s">
        <v>594</v>
      </c>
      <c r="D172">
        <v>200</v>
      </c>
      <c r="E172" t="s">
        <v>595</v>
      </c>
      <c r="F172" s="1">
        <v>45752</v>
      </c>
      <c r="G172" s="1">
        <v>45753</v>
      </c>
      <c r="H172" t="s">
        <v>596</v>
      </c>
      <c r="I172" t="s">
        <v>597</v>
      </c>
      <c r="K172">
        <f>COUNTIF(Sheet1!A:A,'2025_discovered_ijs_competition'!B172)</f>
        <v>0</v>
      </c>
    </row>
    <row r="173" spans="1:11" x14ac:dyDescent="0.2">
      <c r="A173">
        <v>2025</v>
      </c>
      <c r="B173">
        <v>36036</v>
      </c>
      <c r="C173" t="s">
        <v>598</v>
      </c>
      <c r="D173">
        <v>200</v>
      </c>
      <c r="E173" t="s">
        <v>599</v>
      </c>
      <c r="F173" s="1">
        <v>45772</v>
      </c>
      <c r="G173" s="1">
        <v>45774</v>
      </c>
      <c r="H173" t="s">
        <v>201</v>
      </c>
      <c r="I173" t="s">
        <v>600</v>
      </c>
      <c r="K173">
        <f>COUNTIF(Sheet1!A:A,'2025_discovered_ijs_competition'!B173)</f>
        <v>0</v>
      </c>
    </row>
    <row r="174" spans="1:11" x14ac:dyDescent="0.2">
      <c r="A174">
        <v>2025</v>
      </c>
      <c r="B174">
        <v>36045</v>
      </c>
      <c r="C174" t="s">
        <v>601</v>
      </c>
      <c r="D174">
        <v>200</v>
      </c>
      <c r="E174" t="s">
        <v>602</v>
      </c>
      <c r="F174" s="1">
        <v>45766</v>
      </c>
      <c r="G174" s="1">
        <v>45766</v>
      </c>
      <c r="H174" t="s">
        <v>603</v>
      </c>
      <c r="I174" t="s">
        <v>604</v>
      </c>
      <c r="K174">
        <f>COUNTIF(Sheet1!A:A,'2025_discovered_ijs_competition'!B174)</f>
        <v>0</v>
      </c>
    </row>
    <row r="175" spans="1:11" hidden="1" x14ac:dyDescent="0.2">
      <c r="A175">
        <v>2025</v>
      </c>
      <c r="B175">
        <v>36046</v>
      </c>
      <c r="C175" t="s">
        <v>605</v>
      </c>
      <c r="D175">
        <v>200</v>
      </c>
      <c r="E175" t="s">
        <v>606</v>
      </c>
      <c r="F175" s="1">
        <v>45723</v>
      </c>
      <c r="G175" s="1">
        <v>45724</v>
      </c>
      <c r="H175" t="s">
        <v>429</v>
      </c>
      <c r="I175" t="s">
        <v>607</v>
      </c>
      <c r="K175">
        <f>COUNTIF(Sheet1!A:A,'2025_discovered_ijs_competition'!B175)</f>
        <v>1</v>
      </c>
    </row>
    <row r="176" spans="1:11" x14ac:dyDescent="0.2">
      <c r="A176">
        <v>2025</v>
      </c>
      <c r="B176">
        <v>36048</v>
      </c>
      <c r="C176" t="s">
        <v>608</v>
      </c>
      <c r="D176">
        <v>200</v>
      </c>
      <c r="E176" t="s">
        <v>609</v>
      </c>
      <c r="F176" s="1">
        <v>45717</v>
      </c>
      <c r="G176" s="1">
        <v>45717</v>
      </c>
      <c r="H176" t="s">
        <v>610</v>
      </c>
      <c r="I176" t="s">
        <v>607</v>
      </c>
      <c r="K176">
        <f>COUNTIF(Sheet1!A:A,'2025_discovered_ijs_competition'!B176)</f>
        <v>0</v>
      </c>
    </row>
    <row r="177" spans="1:11" x14ac:dyDescent="0.2">
      <c r="A177">
        <v>2025</v>
      </c>
      <c r="B177">
        <v>36056</v>
      </c>
      <c r="C177" t="s">
        <v>611</v>
      </c>
      <c r="D177">
        <v>200</v>
      </c>
      <c r="E177" t="s">
        <v>612</v>
      </c>
      <c r="F177" s="1">
        <v>45785</v>
      </c>
      <c r="G177" s="1">
        <v>45788</v>
      </c>
      <c r="H177" t="s">
        <v>197</v>
      </c>
      <c r="I177" t="s">
        <v>613</v>
      </c>
      <c r="K177">
        <f>COUNTIF(Sheet1!A:A,'2025_discovered_ijs_competition'!B177)</f>
        <v>0</v>
      </c>
    </row>
    <row r="178" spans="1:11" x14ac:dyDescent="0.2">
      <c r="A178">
        <v>2025</v>
      </c>
      <c r="B178">
        <v>36057</v>
      </c>
      <c r="C178" t="s">
        <v>614</v>
      </c>
      <c r="D178">
        <v>200</v>
      </c>
      <c r="E178" t="s">
        <v>615</v>
      </c>
      <c r="F178" s="1">
        <v>45780</v>
      </c>
      <c r="G178" s="1">
        <v>45780</v>
      </c>
      <c r="H178" t="s">
        <v>616</v>
      </c>
      <c r="I178" t="s">
        <v>613</v>
      </c>
      <c r="K178">
        <f>COUNTIF(Sheet1!A:A,'2025_discovered_ijs_competition'!B178)</f>
        <v>0</v>
      </c>
    </row>
    <row r="179" spans="1:11" x14ac:dyDescent="0.2">
      <c r="A179">
        <v>2025</v>
      </c>
      <c r="B179">
        <v>36063</v>
      </c>
      <c r="C179" t="s">
        <v>617</v>
      </c>
      <c r="D179">
        <v>200</v>
      </c>
      <c r="E179" t="s">
        <v>618</v>
      </c>
      <c r="F179" s="1">
        <v>45779</v>
      </c>
      <c r="G179" s="1">
        <v>45781</v>
      </c>
      <c r="H179" t="s">
        <v>619</v>
      </c>
      <c r="I179" t="s">
        <v>620</v>
      </c>
      <c r="K179">
        <f>COUNTIF(Sheet1!A:A,'2025_discovered_ijs_competition'!B179)</f>
        <v>0</v>
      </c>
    </row>
    <row r="180" spans="1:11" x14ac:dyDescent="0.2">
      <c r="A180">
        <v>2025</v>
      </c>
      <c r="B180">
        <v>36081</v>
      </c>
      <c r="C180" t="s">
        <v>621</v>
      </c>
      <c r="D180">
        <v>200</v>
      </c>
      <c r="E180" t="s">
        <v>622</v>
      </c>
      <c r="F180" s="1">
        <v>45815</v>
      </c>
      <c r="G180" s="1">
        <v>45815</v>
      </c>
      <c r="H180" t="s">
        <v>623</v>
      </c>
      <c r="I180" t="s">
        <v>624</v>
      </c>
      <c r="K180">
        <f>COUNTIF(Sheet1!A:A,'2025_discovered_ijs_competition'!B180)</f>
        <v>0</v>
      </c>
    </row>
    <row r="181" spans="1:11" x14ac:dyDescent="0.2">
      <c r="A181">
        <v>2025</v>
      </c>
      <c r="B181">
        <v>36090</v>
      </c>
      <c r="C181" t="s">
        <v>625</v>
      </c>
      <c r="D181">
        <v>200</v>
      </c>
      <c r="E181" t="s">
        <v>626</v>
      </c>
      <c r="F181" s="1">
        <v>45807</v>
      </c>
      <c r="G181" s="1">
        <v>45809</v>
      </c>
      <c r="H181" t="s">
        <v>187</v>
      </c>
      <c r="I181" t="s">
        <v>627</v>
      </c>
      <c r="K181">
        <f>COUNTIF(Sheet1!A:A,'2025_discovered_ijs_competition'!B181)</f>
        <v>0</v>
      </c>
    </row>
    <row r="182" spans="1:11" x14ac:dyDescent="0.2">
      <c r="A182">
        <v>2025</v>
      </c>
      <c r="B182">
        <v>36094</v>
      </c>
      <c r="C182" t="s">
        <v>628</v>
      </c>
      <c r="D182">
        <v>200</v>
      </c>
      <c r="E182" t="s">
        <v>629</v>
      </c>
      <c r="F182" s="1">
        <v>45780</v>
      </c>
      <c r="G182" s="1">
        <v>45781</v>
      </c>
      <c r="H182" t="s">
        <v>630</v>
      </c>
      <c r="I182" t="s">
        <v>631</v>
      </c>
      <c r="K182">
        <f>COUNTIF(Sheet1!A:A,'2025_discovered_ijs_competition'!B182)</f>
        <v>0</v>
      </c>
    </row>
    <row r="183" spans="1:11" x14ac:dyDescent="0.2">
      <c r="A183">
        <v>2025</v>
      </c>
      <c r="B183">
        <v>36095</v>
      </c>
      <c r="C183" t="s">
        <v>632</v>
      </c>
      <c r="D183">
        <v>200</v>
      </c>
      <c r="E183" t="s">
        <v>633</v>
      </c>
      <c r="F183" s="1">
        <v>45787</v>
      </c>
      <c r="G183" s="1">
        <v>45787</v>
      </c>
      <c r="H183" t="s">
        <v>249</v>
      </c>
      <c r="I183" t="s">
        <v>631</v>
      </c>
      <c r="K183">
        <f>COUNTIF(Sheet1!A:A,'2025_discovered_ijs_competition'!B183)</f>
        <v>0</v>
      </c>
    </row>
    <row r="184" spans="1:11" x14ac:dyDescent="0.2">
      <c r="A184">
        <v>2025</v>
      </c>
      <c r="B184">
        <v>36098</v>
      </c>
      <c r="C184" t="s">
        <v>634</v>
      </c>
      <c r="D184">
        <v>200</v>
      </c>
      <c r="E184" t="s">
        <v>635</v>
      </c>
      <c r="F184" s="1">
        <v>45919</v>
      </c>
      <c r="G184" s="1">
        <v>45921</v>
      </c>
      <c r="H184" t="s">
        <v>636</v>
      </c>
      <c r="I184" t="s">
        <v>637</v>
      </c>
      <c r="K184">
        <f>COUNTIF(Sheet1!A:A,'2025_discovered_ijs_competition'!B184)</f>
        <v>0</v>
      </c>
    </row>
    <row r="185" spans="1:11" x14ac:dyDescent="0.2">
      <c r="A185">
        <v>2025</v>
      </c>
      <c r="B185">
        <v>36103</v>
      </c>
      <c r="C185" t="s">
        <v>638</v>
      </c>
      <c r="D185">
        <v>200</v>
      </c>
      <c r="E185" t="s">
        <v>639</v>
      </c>
      <c r="F185" s="1">
        <v>45738</v>
      </c>
      <c r="G185" s="1">
        <v>45739</v>
      </c>
      <c r="H185" t="s">
        <v>163</v>
      </c>
      <c r="I185" t="s">
        <v>640</v>
      </c>
      <c r="K185">
        <f>COUNTIF(Sheet1!A:A,'2025_discovered_ijs_competition'!B185)</f>
        <v>0</v>
      </c>
    </row>
    <row r="186" spans="1:11" x14ac:dyDescent="0.2">
      <c r="A186">
        <v>2025</v>
      </c>
      <c r="B186">
        <v>36111</v>
      </c>
      <c r="C186" t="s">
        <v>641</v>
      </c>
      <c r="D186">
        <v>200</v>
      </c>
      <c r="E186" t="s">
        <v>642</v>
      </c>
      <c r="F186" s="1">
        <v>45795</v>
      </c>
      <c r="G186" s="1">
        <v>45795</v>
      </c>
      <c r="H186" t="s">
        <v>278</v>
      </c>
      <c r="I186" t="s">
        <v>643</v>
      </c>
      <c r="K186">
        <f>COUNTIF(Sheet1!A:A,'2025_discovered_ijs_competition'!B186)</f>
        <v>0</v>
      </c>
    </row>
    <row r="187" spans="1:11" x14ac:dyDescent="0.2">
      <c r="A187">
        <v>2025</v>
      </c>
      <c r="B187">
        <v>36124</v>
      </c>
      <c r="C187" t="s">
        <v>644</v>
      </c>
      <c r="D187">
        <v>200</v>
      </c>
      <c r="E187" t="s">
        <v>645</v>
      </c>
      <c r="F187" s="1">
        <v>45787</v>
      </c>
      <c r="G187" s="1">
        <v>45787</v>
      </c>
      <c r="H187" t="s">
        <v>130</v>
      </c>
      <c r="I187" t="s">
        <v>646</v>
      </c>
      <c r="K187">
        <f>COUNTIF(Sheet1!A:A,'2025_discovered_ijs_competition'!B187)</f>
        <v>0</v>
      </c>
    </row>
    <row r="188" spans="1:11" x14ac:dyDescent="0.2">
      <c r="A188">
        <v>2025</v>
      </c>
      <c r="B188">
        <v>36126</v>
      </c>
      <c r="C188" t="s">
        <v>647</v>
      </c>
      <c r="D188">
        <v>200</v>
      </c>
      <c r="E188" t="s">
        <v>648</v>
      </c>
      <c r="F188" s="1">
        <v>45808</v>
      </c>
      <c r="G188" s="1">
        <v>45809</v>
      </c>
      <c r="H188" t="s">
        <v>649</v>
      </c>
      <c r="I188" t="s">
        <v>646</v>
      </c>
      <c r="K188">
        <f>COUNTIF(Sheet1!A:A,'2025_discovered_ijs_competition'!B188)</f>
        <v>0</v>
      </c>
    </row>
    <row r="189" spans="1:11" x14ac:dyDescent="0.2">
      <c r="A189">
        <v>2025</v>
      </c>
      <c r="B189">
        <v>36127</v>
      </c>
      <c r="C189" t="s">
        <v>650</v>
      </c>
      <c r="D189">
        <v>200</v>
      </c>
      <c r="E189" t="s">
        <v>651</v>
      </c>
      <c r="F189" s="1">
        <v>45835</v>
      </c>
      <c r="G189" s="1">
        <v>45836</v>
      </c>
      <c r="H189" t="s">
        <v>652</v>
      </c>
      <c r="I189" t="s">
        <v>653</v>
      </c>
      <c r="K189">
        <f>COUNTIF(Sheet1!A:A,'2025_discovered_ijs_competition'!B189)</f>
        <v>0</v>
      </c>
    </row>
    <row r="190" spans="1:11" x14ac:dyDescent="0.2">
      <c r="A190">
        <v>2025</v>
      </c>
      <c r="B190">
        <v>36132</v>
      </c>
      <c r="C190" t="s">
        <v>654</v>
      </c>
      <c r="D190">
        <v>200</v>
      </c>
      <c r="E190" t="s">
        <v>655</v>
      </c>
      <c r="F190" s="1">
        <v>45836</v>
      </c>
      <c r="G190" s="1">
        <v>45836</v>
      </c>
      <c r="H190" t="s">
        <v>656</v>
      </c>
      <c r="I190" t="s">
        <v>657</v>
      </c>
      <c r="K190">
        <f>COUNTIF(Sheet1!A:A,'2025_discovered_ijs_competition'!B190)</f>
        <v>0</v>
      </c>
    </row>
    <row r="191" spans="1:11" x14ac:dyDescent="0.2">
      <c r="A191">
        <v>2025</v>
      </c>
      <c r="B191">
        <v>36133</v>
      </c>
      <c r="C191" t="s">
        <v>658</v>
      </c>
      <c r="D191">
        <v>200</v>
      </c>
      <c r="E191" t="s">
        <v>659</v>
      </c>
      <c r="F191" s="1">
        <v>45857</v>
      </c>
      <c r="G191" s="1">
        <v>45858</v>
      </c>
      <c r="H191" t="s">
        <v>660</v>
      </c>
      <c r="I191" t="s">
        <v>661</v>
      </c>
      <c r="K191">
        <f>COUNTIF(Sheet1!A:A,'2025_discovered_ijs_competition'!B191)</f>
        <v>0</v>
      </c>
    </row>
    <row r="192" spans="1:11" hidden="1" x14ac:dyDescent="0.2">
      <c r="A192">
        <v>2025</v>
      </c>
      <c r="B192">
        <v>36136</v>
      </c>
      <c r="C192" t="s">
        <v>662</v>
      </c>
      <c r="D192">
        <v>200</v>
      </c>
      <c r="E192" t="s">
        <v>663</v>
      </c>
      <c r="F192" s="1">
        <v>45826</v>
      </c>
      <c r="G192" s="1">
        <v>45830</v>
      </c>
      <c r="H192" t="s">
        <v>27</v>
      </c>
      <c r="I192" t="s">
        <v>661</v>
      </c>
      <c r="K192">
        <f>COUNTIF(Sheet1!A:A,'2025_discovered_ijs_competition'!B192)</f>
        <v>1</v>
      </c>
    </row>
    <row r="193" spans="1:11" x14ac:dyDescent="0.2">
      <c r="A193">
        <v>2025</v>
      </c>
      <c r="B193">
        <v>36147</v>
      </c>
      <c r="C193" t="s">
        <v>664</v>
      </c>
      <c r="D193">
        <v>200</v>
      </c>
      <c r="E193" t="s">
        <v>665</v>
      </c>
      <c r="F193" s="1">
        <v>45773</v>
      </c>
      <c r="G193" s="1">
        <v>45773</v>
      </c>
      <c r="H193" t="s">
        <v>666</v>
      </c>
      <c r="I193" t="s">
        <v>667</v>
      </c>
      <c r="K193">
        <f>COUNTIF(Sheet1!A:A,'2025_discovered_ijs_competition'!B193)</f>
        <v>0</v>
      </c>
    </row>
    <row r="194" spans="1:11" x14ac:dyDescent="0.2">
      <c r="A194">
        <v>2025</v>
      </c>
      <c r="B194">
        <v>36149</v>
      </c>
      <c r="C194" t="s">
        <v>668</v>
      </c>
      <c r="D194">
        <v>200</v>
      </c>
      <c r="E194" t="s">
        <v>669</v>
      </c>
      <c r="F194" s="1">
        <v>45807</v>
      </c>
      <c r="G194" s="1">
        <v>45809</v>
      </c>
      <c r="H194" t="s">
        <v>670</v>
      </c>
      <c r="I194" t="s">
        <v>667</v>
      </c>
      <c r="K194">
        <f>COUNTIF(Sheet1!A:A,'2025_discovered_ijs_competition'!B194)</f>
        <v>0</v>
      </c>
    </row>
    <row r="195" spans="1:11" x14ac:dyDescent="0.2">
      <c r="A195">
        <v>2025</v>
      </c>
      <c r="B195">
        <v>36151</v>
      </c>
      <c r="C195" t="s">
        <v>671</v>
      </c>
      <c r="D195">
        <v>200</v>
      </c>
      <c r="E195" t="s">
        <v>672</v>
      </c>
      <c r="F195" s="1">
        <v>45863</v>
      </c>
      <c r="G195" s="1">
        <v>45865</v>
      </c>
      <c r="H195" t="s">
        <v>41</v>
      </c>
      <c r="I195" t="s">
        <v>673</v>
      </c>
      <c r="K195">
        <f>COUNTIF(Sheet1!A:A,'2025_discovered_ijs_competition'!B195)</f>
        <v>0</v>
      </c>
    </row>
    <row r="196" spans="1:11" x14ac:dyDescent="0.2">
      <c r="A196">
        <v>2025</v>
      </c>
      <c r="B196">
        <v>36152</v>
      </c>
      <c r="C196" t="s">
        <v>674</v>
      </c>
      <c r="D196">
        <v>200</v>
      </c>
      <c r="E196" t="s">
        <v>675</v>
      </c>
      <c r="F196" s="1">
        <v>45835</v>
      </c>
      <c r="G196" s="1">
        <v>45837</v>
      </c>
      <c r="H196" t="s">
        <v>676</v>
      </c>
      <c r="I196" t="s">
        <v>673</v>
      </c>
      <c r="K196">
        <f>COUNTIF(Sheet1!A:A,'2025_discovered_ijs_competition'!B196)</f>
        <v>0</v>
      </c>
    </row>
    <row r="197" spans="1:11" x14ac:dyDescent="0.2">
      <c r="A197">
        <v>2025</v>
      </c>
      <c r="B197">
        <v>36155</v>
      </c>
      <c r="C197" t="s">
        <v>677</v>
      </c>
      <c r="D197">
        <v>200</v>
      </c>
      <c r="E197" t="s">
        <v>678</v>
      </c>
      <c r="F197" s="1">
        <v>45904</v>
      </c>
      <c r="G197" s="1">
        <v>45907</v>
      </c>
      <c r="H197" t="s">
        <v>59</v>
      </c>
      <c r="I197" t="s">
        <v>679</v>
      </c>
      <c r="K197">
        <f>COUNTIF(Sheet1!A:A,'2025_discovered_ijs_competition'!B197)</f>
        <v>0</v>
      </c>
    </row>
    <row r="198" spans="1:11" x14ac:dyDescent="0.2">
      <c r="A198">
        <v>2025</v>
      </c>
      <c r="B198">
        <v>36163</v>
      </c>
      <c r="C198" t="s">
        <v>680</v>
      </c>
      <c r="D198">
        <v>200</v>
      </c>
      <c r="E198" t="s">
        <v>681</v>
      </c>
      <c r="F198" s="1">
        <v>45876</v>
      </c>
      <c r="G198" s="1">
        <v>9352</v>
      </c>
      <c r="H198" t="s">
        <v>682</v>
      </c>
      <c r="I198" t="s">
        <v>683</v>
      </c>
      <c r="K198">
        <f>COUNTIF(Sheet1!A:A,'2025_discovered_ijs_competition'!B198)</f>
        <v>0</v>
      </c>
    </row>
    <row r="199" spans="1:11" x14ac:dyDescent="0.2">
      <c r="A199">
        <v>2025</v>
      </c>
      <c r="B199">
        <v>36164</v>
      </c>
      <c r="C199" t="s">
        <v>684</v>
      </c>
      <c r="D199">
        <v>200</v>
      </c>
      <c r="E199" t="s">
        <v>685</v>
      </c>
      <c r="F199" s="1">
        <v>45828</v>
      </c>
      <c r="G199" s="1">
        <v>45830</v>
      </c>
      <c r="H199" t="s">
        <v>686</v>
      </c>
      <c r="I199" t="s">
        <v>687</v>
      </c>
      <c r="K199">
        <f>COUNTIF(Sheet1!A:A,'2025_discovered_ijs_competition'!B199)</f>
        <v>0</v>
      </c>
    </row>
    <row r="200" spans="1:11" x14ac:dyDescent="0.2">
      <c r="A200">
        <v>2025</v>
      </c>
      <c r="B200">
        <v>36167</v>
      </c>
      <c r="C200" t="s">
        <v>688</v>
      </c>
      <c r="D200">
        <v>200</v>
      </c>
      <c r="E200" t="s">
        <v>689</v>
      </c>
      <c r="F200" s="1">
        <v>45826</v>
      </c>
      <c r="G200" s="1">
        <v>45829</v>
      </c>
      <c r="H200" t="s">
        <v>147</v>
      </c>
      <c r="I200" t="s">
        <v>687</v>
      </c>
      <c r="K200">
        <f>COUNTIF(Sheet1!A:A,'2025_discovered_ijs_competition'!B200)</f>
        <v>0</v>
      </c>
    </row>
    <row r="201" spans="1:11" x14ac:dyDescent="0.2">
      <c r="A201">
        <v>2025</v>
      </c>
      <c r="B201">
        <v>36171</v>
      </c>
      <c r="C201" t="s">
        <v>690</v>
      </c>
      <c r="D201">
        <v>200</v>
      </c>
      <c r="E201" t="s">
        <v>691</v>
      </c>
      <c r="F201" s="1">
        <v>45793</v>
      </c>
      <c r="G201" s="1">
        <v>45795</v>
      </c>
      <c r="H201" t="s">
        <v>692</v>
      </c>
      <c r="I201" t="s">
        <v>693</v>
      </c>
      <c r="K201">
        <f>COUNTIF(Sheet1!A:A,'2025_discovered_ijs_competition'!B201)</f>
        <v>0</v>
      </c>
    </row>
    <row r="202" spans="1:11" hidden="1" x14ac:dyDescent="0.2">
      <c r="A202">
        <v>2025</v>
      </c>
      <c r="B202">
        <v>36179</v>
      </c>
      <c r="C202" t="s">
        <v>694</v>
      </c>
      <c r="D202">
        <v>200</v>
      </c>
      <c r="E202" t="s">
        <v>695</v>
      </c>
      <c r="F202" s="1">
        <v>45918</v>
      </c>
      <c r="G202" s="1">
        <v>45921</v>
      </c>
      <c r="H202" t="s">
        <v>393</v>
      </c>
      <c r="I202" t="s">
        <v>696</v>
      </c>
      <c r="K202">
        <f>COUNTIF(Sheet1!A:A,'2025_discovered_ijs_competition'!B202)</f>
        <v>1</v>
      </c>
    </row>
    <row r="203" spans="1:11" hidden="1" x14ac:dyDescent="0.2">
      <c r="A203">
        <v>2025</v>
      </c>
      <c r="B203">
        <v>36180</v>
      </c>
      <c r="C203" t="s">
        <v>697</v>
      </c>
      <c r="D203">
        <v>200</v>
      </c>
      <c r="E203" t="s">
        <v>698</v>
      </c>
      <c r="F203" s="1">
        <v>45889</v>
      </c>
      <c r="G203" s="1">
        <v>45892</v>
      </c>
      <c r="H203" t="s">
        <v>699</v>
      </c>
      <c r="I203" t="s">
        <v>696</v>
      </c>
      <c r="K203">
        <f>COUNTIF(Sheet1!A:A,'2025_discovered_ijs_competition'!B203)</f>
        <v>1</v>
      </c>
    </row>
    <row r="204" spans="1:11" hidden="1" x14ac:dyDescent="0.2">
      <c r="A204">
        <v>2025</v>
      </c>
      <c r="B204">
        <v>36181</v>
      </c>
      <c r="C204" t="s">
        <v>700</v>
      </c>
      <c r="D204">
        <v>200</v>
      </c>
      <c r="E204" t="s">
        <v>701</v>
      </c>
      <c r="F204" s="1">
        <v>45902</v>
      </c>
      <c r="G204" s="1">
        <v>45907</v>
      </c>
      <c r="H204" t="s">
        <v>610</v>
      </c>
      <c r="I204" t="s">
        <v>702</v>
      </c>
      <c r="K204">
        <f>COUNTIF(Sheet1!A:A,'2025_discovered_ijs_competition'!B204)</f>
        <v>1</v>
      </c>
    </row>
    <row r="205" spans="1:11" hidden="1" x14ac:dyDescent="0.2">
      <c r="A205">
        <v>2025</v>
      </c>
      <c r="B205">
        <v>36182</v>
      </c>
      <c r="C205" t="s">
        <v>703</v>
      </c>
      <c r="D205">
        <v>200</v>
      </c>
      <c r="E205" t="s">
        <v>704</v>
      </c>
      <c r="F205" s="1">
        <v>45911</v>
      </c>
      <c r="G205" s="1">
        <v>45914</v>
      </c>
      <c r="H205" t="s">
        <v>130</v>
      </c>
      <c r="I205" t="s">
        <v>702</v>
      </c>
      <c r="K205">
        <f>COUNTIF(Sheet1!A:A,'2025_discovered_ijs_competition'!B205)</f>
        <v>1</v>
      </c>
    </row>
    <row r="206" spans="1:11" x14ac:dyDescent="0.2">
      <c r="A206">
        <v>2025</v>
      </c>
      <c r="B206">
        <v>36184</v>
      </c>
      <c r="C206" t="s">
        <v>705</v>
      </c>
      <c r="D206">
        <v>200</v>
      </c>
      <c r="E206" t="s">
        <v>706</v>
      </c>
      <c r="F206" s="1">
        <v>45878</v>
      </c>
      <c r="G206" s="1">
        <v>45879</v>
      </c>
      <c r="H206" t="s">
        <v>707</v>
      </c>
      <c r="I206" t="s">
        <v>702</v>
      </c>
      <c r="K206">
        <f>COUNTIF(Sheet1!A:A,'2025_discovered_ijs_competition'!B206)</f>
        <v>0</v>
      </c>
    </row>
    <row r="207" spans="1:11" x14ac:dyDescent="0.2">
      <c r="A207">
        <v>2025</v>
      </c>
      <c r="B207">
        <v>36185</v>
      </c>
      <c r="C207" t="s">
        <v>708</v>
      </c>
      <c r="D207">
        <v>200</v>
      </c>
      <c r="E207" t="s">
        <v>709</v>
      </c>
      <c r="F207" s="1">
        <v>45808</v>
      </c>
      <c r="G207" s="1">
        <v>45809</v>
      </c>
      <c r="H207" t="s">
        <v>38</v>
      </c>
      <c r="I207" t="s">
        <v>710</v>
      </c>
      <c r="K207">
        <f>COUNTIF(Sheet1!A:A,'2025_discovered_ijs_competition'!B207)</f>
        <v>0</v>
      </c>
    </row>
    <row r="208" spans="1:11" x14ac:dyDescent="0.2">
      <c r="A208">
        <v>2025</v>
      </c>
      <c r="B208">
        <v>36186</v>
      </c>
      <c r="C208" t="s">
        <v>711</v>
      </c>
      <c r="D208">
        <v>200</v>
      </c>
      <c r="E208" t="s">
        <v>712</v>
      </c>
      <c r="F208" s="1">
        <v>45898</v>
      </c>
      <c r="G208" s="1">
        <v>45900</v>
      </c>
      <c r="H208" t="s">
        <v>38</v>
      </c>
      <c r="I208" t="s">
        <v>710</v>
      </c>
      <c r="K208">
        <f>COUNTIF(Sheet1!A:A,'2025_discovered_ijs_competition'!B208)</f>
        <v>0</v>
      </c>
    </row>
    <row r="209" spans="1:11" x14ac:dyDescent="0.2">
      <c r="A209">
        <v>2025</v>
      </c>
      <c r="B209">
        <v>36192</v>
      </c>
      <c r="C209" t="s">
        <v>713</v>
      </c>
      <c r="D209">
        <v>200</v>
      </c>
      <c r="E209" t="s">
        <v>714</v>
      </c>
      <c r="F209" s="1">
        <v>45890</v>
      </c>
      <c r="G209" s="1">
        <v>45893</v>
      </c>
      <c r="H209" t="s">
        <v>48</v>
      </c>
      <c r="I209" t="s">
        <v>715</v>
      </c>
      <c r="K209">
        <f>COUNTIF(Sheet1!A:A,'2025_discovered_ijs_competition'!B209)</f>
        <v>0</v>
      </c>
    </row>
    <row r="210" spans="1:11" x14ac:dyDescent="0.2">
      <c r="A210">
        <v>2025</v>
      </c>
      <c r="B210">
        <v>36199</v>
      </c>
      <c r="C210" t="s">
        <v>716</v>
      </c>
      <c r="D210">
        <v>200</v>
      </c>
      <c r="E210" t="s">
        <v>717</v>
      </c>
      <c r="F210" s="1">
        <v>45795</v>
      </c>
      <c r="G210" s="1">
        <v>45795</v>
      </c>
      <c r="H210" t="s">
        <v>718</v>
      </c>
      <c r="I210" t="s">
        <v>719</v>
      </c>
      <c r="K210">
        <f>COUNTIF(Sheet1!A:A,'2025_discovered_ijs_competition'!B210)</f>
        <v>0</v>
      </c>
    </row>
    <row r="211" spans="1:11" x14ac:dyDescent="0.2">
      <c r="A211">
        <v>2025</v>
      </c>
      <c r="B211">
        <v>36202</v>
      </c>
      <c r="C211" t="s">
        <v>720</v>
      </c>
      <c r="D211">
        <v>200</v>
      </c>
      <c r="E211" t="s">
        <v>721</v>
      </c>
      <c r="F211" s="1">
        <v>45815</v>
      </c>
      <c r="G211" s="1">
        <v>45816</v>
      </c>
      <c r="H211" t="s">
        <v>384</v>
      </c>
      <c r="I211" t="s">
        <v>722</v>
      </c>
      <c r="K211">
        <f>COUNTIF(Sheet1!A:A,'2025_discovered_ijs_competition'!B211)</f>
        <v>0</v>
      </c>
    </row>
    <row r="212" spans="1:11" x14ac:dyDescent="0.2">
      <c r="A212">
        <v>2025</v>
      </c>
      <c r="B212">
        <v>36203</v>
      </c>
      <c r="C212" t="s">
        <v>723</v>
      </c>
      <c r="D212">
        <v>200</v>
      </c>
      <c r="E212" t="s">
        <v>724</v>
      </c>
      <c r="F212" s="1">
        <v>45856</v>
      </c>
      <c r="G212" s="1">
        <v>45857</v>
      </c>
      <c r="H212" t="s">
        <v>725</v>
      </c>
      <c r="I212" t="s">
        <v>722</v>
      </c>
      <c r="K212">
        <f>COUNTIF(Sheet1!A:A,'2025_discovered_ijs_competition'!B212)</f>
        <v>0</v>
      </c>
    </row>
    <row r="213" spans="1:11" x14ac:dyDescent="0.2">
      <c r="A213">
        <v>2025</v>
      </c>
      <c r="B213">
        <v>36206</v>
      </c>
      <c r="C213" t="s">
        <v>726</v>
      </c>
      <c r="D213">
        <v>200</v>
      </c>
      <c r="E213" t="s">
        <v>727</v>
      </c>
      <c r="F213" s="1">
        <v>45884</v>
      </c>
      <c r="G213" s="1">
        <v>45886</v>
      </c>
      <c r="H213" t="s">
        <v>306</v>
      </c>
      <c r="I213" t="s">
        <v>728</v>
      </c>
      <c r="K213">
        <f>COUNTIF(Sheet1!A:A,'2025_discovered_ijs_competition'!B213)</f>
        <v>0</v>
      </c>
    </row>
    <row r="214" spans="1:11" x14ac:dyDescent="0.2">
      <c r="A214">
        <v>2025</v>
      </c>
      <c r="B214">
        <v>36208</v>
      </c>
      <c r="C214" t="s">
        <v>729</v>
      </c>
      <c r="D214">
        <v>200</v>
      </c>
      <c r="E214" t="s">
        <v>730</v>
      </c>
      <c r="F214" s="1">
        <v>9331</v>
      </c>
      <c r="G214" s="1">
        <v>9332</v>
      </c>
      <c r="H214" t="s">
        <v>731</v>
      </c>
      <c r="I214" t="s">
        <v>728</v>
      </c>
      <c r="K214">
        <f>COUNTIF(Sheet1!A:A,'2025_discovered_ijs_competition'!B214)</f>
        <v>0</v>
      </c>
    </row>
    <row r="215" spans="1:11" x14ac:dyDescent="0.2">
      <c r="A215">
        <v>2025</v>
      </c>
      <c r="B215">
        <v>36216</v>
      </c>
      <c r="C215" t="s">
        <v>732</v>
      </c>
      <c r="D215">
        <v>200</v>
      </c>
      <c r="E215" t="s">
        <v>733</v>
      </c>
      <c r="F215" s="1">
        <v>45930</v>
      </c>
      <c r="G215" s="1">
        <v>45934</v>
      </c>
      <c r="H215" t="s">
        <v>232</v>
      </c>
      <c r="I215" t="s">
        <v>734</v>
      </c>
      <c r="K215">
        <f>COUNTIF(Sheet1!A:A,'2025_discovered_ijs_competition'!B215)</f>
        <v>0</v>
      </c>
    </row>
    <row r="216" spans="1:11" x14ac:dyDescent="0.2">
      <c r="A216">
        <v>2025</v>
      </c>
      <c r="B216">
        <v>36217</v>
      </c>
      <c r="C216" t="s">
        <v>735</v>
      </c>
      <c r="D216">
        <v>200</v>
      </c>
      <c r="E216" t="s">
        <v>736</v>
      </c>
      <c r="F216" s="1">
        <v>45832</v>
      </c>
      <c r="G216" s="1">
        <v>45836</v>
      </c>
      <c r="H216" t="s">
        <v>235</v>
      </c>
      <c r="I216" t="s">
        <v>734</v>
      </c>
      <c r="K216">
        <f>COUNTIF(Sheet1!A:A,'2025_discovered_ijs_competition'!B216)</f>
        <v>0</v>
      </c>
    </row>
    <row r="217" spans="1:11" x14ac:dyDescent="0.2">
      <c r="A217">
        <v>2025</v>
      </c>
      <c r="B217">
        <v>36220</v>
      </c>
      <c r="C217" t="s">
        <v>737</v>
      </c>
      <c r="D217">
        <v>200</v>
      </c>
      <c r="E217" t="s">
        <v>738</v>
      </c>
      <c r="F217" s="1">
        <v>45821</v>
      </c>
      <c r="G217" s="1">
        <v>45822</v>
      </c>
      <c r="H217" t="s">
        <v>739</v>
      </c>
      <c r="I217" t="s">
        <v>740</v>
      </c>
      <c r="K217">
        <f>COUNTIF(Sheet1!A:A,'2025_discovered_ijs_competition'!B217)</f>
        <v>0</v>
      </c>
    </row>
    <row r="218" spans="1:11" x14ac:dyDescent="0.2">
      <c r="A218">
        <v>2025</v>
      </c>
      <c r="B218">
        <v>36221</v>
      </c>
      <c r="C218" t="s">
        <v>741</v>
      </c>
      <c r="D218">
        <v>200</v>
      </c>
      <c r="E218" t="s">
        <v>742</v>
      </c>
      <c r="F218" s="1">
        <v>45867</v>
      </c>
      <c r="G218" s="1">
        <v>45872</v>
      </c>
      <c r="H218" t="s">
        <v>155</v>
      </c>
      <c r="I218" t="s">
        <v>740</v>
      </c>
      <c r="K218">
        <f>COUNTIF(Sheet1!A:A,'2025_discovered_ijs_competition'!B218)</f>
        <v>0</v>
      </c>
    </row>
    <row r="219" spans="1:11" x14ac:dyDescent="0.2">
      <c r="A219">
        <v>2025</v>
      </c>
      <c r="B219">
        <v>36222</v>
      </c>
      <c r="C219" t="s">
        <v>743</v>
      </c>
      <c r="D219">
        <v>200</v>
      </c>
      <c r="E219" t="s">
        <v>744</v>
      </c>
      <c r="F219" s="1">
        <v>45835</v>
      </c>
      <c r="G219" s="1">
        <v>45837</v>
      </c>
      <c r="H219" t="s">
        <v>745</v>
      </c>
      <c r="I219" t="s">
        <v>740</v>
      </c>
      <c r="K219">
        <f>COUNTIF(Sheet1!A:A,'2025_discovered_ijs_competition'!B219)</f>
        <v>0</v>
      </c>
    </row>
    <row r="220" spans="1:11" hidden="1" x14ac:dyDescent="0.2">
      <c r="A220">
        <v>2025</v>
      </c>
      <c r="B220">
        <v>36224</v>
      </c>
      <c r="C220" t="s">
        <v>746</v>
      </c>
      <c r="D220">
        <v>200</v>
      </c>
      <c r="E220" t="s">
        <v>747</v>
      </c>
      <c r="F220" s="1">
        <v>45868</v>
      </c>
      <c r="G220" s="1">
        <v>45872</v>
      </c>
      <c r="H220" t="s">
        <v>123</v>
      </c>
      <c r="I220" t="s">
        <v>748</v>
      </c>
      <c r="K220">
        <f>COUNTIF(Sheet1!A:A,'2025_discovered_ijs_competition'!B220)</f>
        <v>1</v>
      </c>
    </row>
    <row r="221" spans="1:11" x14ac:dyDescent="0.2">
      <c r="A221">
        <v>2025</v>
      </c>
      <c r="B221">
        <v>36226</v>
      </c>
      <c r="C221" t="s">
        <v>749</v>
      </c>
      <c r="D221">
        <v>200</v>
      </c>
      <c r="E221" t="s">
        <v>750</v>
      </c>
      <c r="F221" s="1">
        <v>45870</v>
      </c>
      <c r="G221" s="1">
        <v>45872</v>
      </c>
      <c r="H221" t="s">
        <v>59</v>
      </c>
      <c r="I221" t="s">
        <v>748</v>
      </c>
      <c r="K221">
        <f>COUNTIF(Sheet1!A:A,'2025_discovered_ijs_competition'!B221)</f>
        <v>0</v>
      </c>
    </row>
    <row r="222" spans="1:11" x14ac:dyDescent="0.2">
      <c r="A222">
        <v>2025</v>
      </c>
      <c r="B222">
        <v>36227</v>
      </c>
      <c r="C222" t="s">
        <v>751</v>
      </c>
      <c r="D222">
        <v>200</v>
      </c>
      <c r="E222" t="s">
        <v>752</v>
      </c>
      <c r="F222" s="1">
        <v>45905</v>
      </c>
      <c r="G222" s="1">
        <v>45907</v>
      </c>
      <c r="H222" t="s">
        <v>753</v>
      </c>
      <c r="I222" t="s">
        <v>754</v>
      </c>
      <c r="K222">
        <f>COUNTIF(Sheet1!A:A,'2025_discovered_ijs_competition'!B222)</f>
        <v>0</v>
      </c>
    </row>
    <row r="223" spans="1:11" x14ac:dyDescent="0.2">
      <c r="A223">
        <v>2025</v>
      </c>
      <c r="B223">
        <v>36228</v>
      </c>
      <c r="C223" t="s">
        <v>755</v>
      </c>
      <c r="D223">
        <v>200</v>
      </c>
      <c r="E223" t="s">
        <v>756</v>
      </c>
      <c r="F223" s="1">
        <v>45898</v>
      </c>
      <c r="G223" s="1">
        <v>45901</v>
      </c>
      <c r="H223" t="s">
        <v>415</v>
      </c>
      <c r="I223" t="s">
        <v>754</v>
      </c>
      <c r="K223">
        <f>COUNTIF(Sheet1!A:A,'2025_discovered_ijs_competition'!B223)</f>
        <v>0</v>
      </c>
    </row>
    <row r="224" spans="1:11" x14ac:dyDescent="0.2">
      <c r="A224">
        <v>2025</v>
      </c>
      <c r="B224">
        <v>36229</v>
      </c>
      <c r="C224" t="s">
        <v>757</v>
      </c>
      <c r="D224">
        <v>200</v>
      </c>
      <c r="E224" t="s">
        <v>758</v>
      </c>
      <c r="F224" s="1">
        <v>45847</v>
      </c>
      <c r="G224" s="1">
        <v>45851</v>
      </c>
      <c r="H224" t="s">
        <v>450</v>
      </c>
      <c r="I224" t="s">
        <v>754</v>
      </c>
      <c r="K224">
        <f>COUNTIF(Sheet1!A:A,'2025_discovered_ijs_competition'!B224)</f>
        <v>0</v>
      </c>
    </row>
    <row r="225" spans="1:11" x14ac:dyDescent="0.2">
      <c r="A225">
        <v>2025</v>
      </c>
      <c r="B225">
        <v>36230</v>
      </c>
      <c r="C225" t="s">
        <v>759</v>
      </c>
      <c r="D225">
        <v>200</v>
      </c>
      <c r="E225" t="s">
        <v>760</v>
      </c>
      <c r="F225" s="1">
        <v>45912</v>
      </c>
      <c r="G225" s="1">
        <v>45914</v>
      </c>
      <c r="H225" t="s">
        <v>761</v>
      </c>
      <c r="I225" t="s">
        <v>754</v>
      </c>
      <c r="K225">
        <f>COUNTIF(Sheet1!A:A,'2025_discovered_ijs_competition'!B225)</f>
        <v>0</v>
      </c>
    </row>
    <row r="226" spans="1:11" x14ac:dyDescent="0.2">
      <c r="A226">
        <v>2025</v>
      </c>
      <c r="B226">
        <v>36235</v>
      </c>
      <c r="C226" t="s">
        <v>762</v>
      </c>
      <c r="D226">
        <v>200</v>
      </c>
      <c r="E226" t="s">
        <v>763</v>
      </c>
      <c r="F226" s="1">
        <v>45919</v>
      </c>
      <c r="G226" s="1">
        <v>45921</v>
      </c>
      <c r="H226" t="s">
        <v>499</v>
      </c>
      <c r="I226" t="s">
        <v>764</v>
      </c>
      <c r="K226">
        <f>COUNTIF(Sheet1!A:A,'2025_discovered_ijs_competition'!B226)</f>
        <v>0</v>
      </c>
    </row>
    <row r="227" spans="1:11" x14ac:dyDescent="0.2">
      <c r="A227">
        <v>2025</v>
      </c>
      <c r="B227">
        <v>36236</v>
      </c>
      <c r="C227" t="s">
        <v>765</v>
      </c>
      <c r="D227">
        <v>200</v>
      </c>
      <c r="E227" t="s">
        <v>766</v>
      </c>
      <c r="F227" s="1">
        <v>45822</v>
      </c>
      <c r="G227" s="1">
        <v>45823</v>
      </c>
      <c r="H227" t="s">
        <v>20</v>
      </c>
      <c r="I227" t="s">
        <v>767</v>
      </c>
      <c r="K227">
        <f>COUNTIF(Sheet1!A:A,'2025_discovered_ijs_competition'!B227)</f>
        <v>0</v>
      </c>
    </row>
    <row r="228" spans="1:11" x14ac:dyDescent="0.2">
      <c r="A228">
        <v>2025</v>
      </c>
      <c r="B228">
        <v>36244</v>
      </c>
      <c r="C228" t="s">
        <v>768</v>
      </c>
      <c r="D228">
        <v>200</v>
      </c>
      <c r="E228" t="s">
        <v>769</v>
      </c>
      <c r="F228" s="1">
        <v>45891</v>
      </c>
      <c r="G228" s="1">
        <v>45892</v>
      </c>
      <c r="H228" t="s">
        <v>770</v>
      </c>
      <c r="I228" t="s">
        <v>771</v>
      </c>
      <c r="K228">
        <f>COUNTIF(Sheet1!A:A,'2025_discovered_ijs_competition'!B228)</f>
        <v>0</v>
      </c>
    </row>
    <row r="229" spans="1:11" x14ac:dyDescent="0.2">
      <c r="A229">
        <v>2025</v>
      </c>
      <c r="B229">
        <v>36250</v>
      </c>
      <c r="C229" t="s">
        <v>772</v>
      </c>
      <c r="D229">
        <v>200</v>
      </c>
      <c r="E229" t="s">
        <v>773</v>
      </c>
      <c r="F229" s="1">
        <v>45918</v>
      </c>
      <c r="G229" s="1">
        <v>45921</v>
      </c>
      <c r="H229" t="s">
        <v>370</v>
      </c>
      <c r="I229" t="s">
        <v>774</v>
      </c>
      <c r="K229">
        <f>COUNTIF(Sheet1!A:A,'2025_discovered_ijs_competition'!B229)</f>
        <v>0</v>
      </c>
    </row>
    <row r="230" spans="1:11" hidden="1" x14ac:dyDescent="0.2">
      <c r="A230">
        <v>2025</v>
      </c>
      <c r="B230">
        <v>36275</v>
      </c>
      <c r="C230" t="s">
        <v>775</v>
      </c>
      <c r="D230">
        <v>200</v>
      </c>
      <c r="E230" t="s">
        <v>776</v>
      </c>
      <c r="F230" s="1">
        <v>45849</v>
      </c>
      <c r="G230" s="1">
        <v>45851</v>
      </c>
      <c r="H230" t="s">
        <v>232</v>
      </c>
      <c r="I230" t="s">
        <v>777</v>
      </c>
      <c r="K230">
        <f>COUNTIF(Sheet1!A:A,'2025_discovered_ijs_competition'!B230)</f>
        <v>1</v>
      </c>
    </row>
    <row r="231" spans="1:11" x14ac:dyDescent="0.2">
      <c r="A231">
        <v>2025</v>
      </c>
      <c r="B231">
        <v>36278</v>
      </c>
      <c r="C231" t="s">
        <v>778</v>
      </c>
      <c r="D231">
        <v>200</v>
      </c>
      <c r="E231" t="s">
        <v>779</v>
      </c>
      <c r="F231" s="1">
        <v>45847</v>
      </c>
      <c r="G231" s="1">
        <v>45851</v>
      </c>
      <c r="H231" t="s">
        <v>450</v>
      </c>
      <c r="I231" t="s">
        <v>777</v>
      </c>
      <c r="K231">
        <f>COUNTIF(Sheet1!A:A,'2025_discovered_ijs_competition'!B231)</f>
        <v>0</v>
      </c>
    </row>
    <row r="232" spans="1:11" x14ac:dyDescent="0.2">
      <c r="A232">
        <v>2025</v>
      </c>
      <c r="B232">
        <v>36280</v>
      </c>
      <c r="C232" t="s">
        <v>780</v>
      </c>
      <c r="D232">
        <v>200</v>
      </c>
      <c r="E232" t="s">
        <v>781</v>
      </c>
      <c r="F232" s="1">
        <v>45877</v>
      </c>
      <c r="G232" s="1">
        <v>45878</v>
      </c>
      <c r="H232" t="s">
        <v>782</v>
      </c>
      <c r="I232" t="s">
        <v>783</v>
      </c>
      <c r="K232">
        <f>COUNTIF(Sheet1!A:A,'2025_discovered_ijs_competition'!B232)</f>
        <v>0</v>
      </c>
    </row>
    <row r="233" spans="1:11" x14ac:dyDescent="0.2">
      <c r="A233">
        <v>2025</v>
      </c>
      <c r="B233">
        <v>36284</v>
      </c>
      <c r="C233" t="s">
        <v>784</v>
      </c>
      <c r="D233">
        <v>200</v>
      </c>
      <c r="E233" t="s">
        <v>785</v>
      </c>
      <c r="F233" s="1">
        <v>45899</v>
      </c>
      <c r="G233" s="1">
        <v>45899</v>
      </c>
      <c r="H233" t="s">
        <v>786</v>
      </c>
      <c r="I233" t="s">
        <v>787</v>
      </c>
      <c r="K233">
        <f>COUNTIF(Sheet1!A:A,'2025_discovered_ijs_competition'!B233)</f>
        <v>0</v>
      </c>
    </row>
    <row r="234" spans="1:11" x14ac:dyDescent="0.2">
      <c r="A234">
        <v>2025</v>
      </c>
      <c r="B234">
        <v>36285</v>
      </c>
      <c r="C234" t="s">
        <v>788</v>
      </c>
      <c r="D234">
        <v>200</v>
      </c>
      <c r="E234" t="s">
        <v>789</v>
      </c>
      <c r="F234" s="1">
        <v>45903</v>
      </c>
      <c r="G234" s="1">
        <v>45907</v>
      </c>
      <c r="H234" t="s">
        <v>610</v>
      </c>
      <c r="I234" t="s">
        <v>787</v>
      </c>
      <c r="K234">
        <f>COUNTIF(Sheet1!A:A,'2025_discovered_ijs_competition'!B234)</f>
        <v>0</v>
      </c>
    </row>
    <row r="235" spans="1:11" hidden="1" x14ac:dyDescent="0.2">
      <c r="A235">
        <v>2025</v>
      </c>
      <c r="B235">
        <v>36286</v>
      </c>
      <c r="C235" t="s">
        <v>790</v>
      </c>
      <c r="D235">
        <v>200</v>
      </c>
      <c r="E235" t="s">
        <v>791</v>
      </c>
      <c r="F235" s="1">
        <v>45955</v>
      </c>
      <c r="G235" s="1">
        <v>45955</v>
      </c>
      <c r="H235" t="s">
        <v>692</v>
      </c>
      <c r="I235" t="s">
        <v>787</v>
      </c>
      <c r="K235">
        <f>COUNTIF(Sheet1!A:A,'2025_discovered_ijs_competition'!B235)</f>
        <v>1</v>
      </c>
    </row>
    <row r="236" spans="1:11" x14ac:dyDescent="0.2">
      <c r="A236">
        <v>2025</v>
      </c>
      <c r="B236">
        <v>36287</v>
      </c>
      <c r="C236" t="s">
        <v>792</v>
      </c>
      <c r="D236">
        <v>200</v>
      </c>
      <c r="E236" t="s">
        <v>793</v>
      </c>
      <c r="F236" s="1">
        <v>45891</v>
      </c>
      <c r="G236" s="1">
        <v>45893</v>
      </c>
      <c r="H236" t="s">
        <v>794</v>
      </c>
      <c r="I236" t="s">
        <v>787</v>
      </c>
      <c r="K236">
        <f>COUNTIF(Sheet1!A:A,'2025_discovered_ijs_competition'!B236)</f>
        <v>0</v>
      </c>
    </row>
    <row r="237" spans="1:11" x14ac:dyDescent="0.2">
      <c r="A237">
        <v>2025</v>
      </c>
      <c r="B237">
        <v>36288</v>
      </c>
      <c r="C237" t="s">
        <v>795</v>
      </c>
      <c r="D237">
        <v>200</v>
      </c>
      <c r="E237" t="s">
        <v>796</v>
      </c>
      <c r="F237" s="1">
        <v>45851</v>
      </c>
      <c r="G237" s="1">
        <v>9326</v>
      </c>
      <c r="H237" t="s">
        <v>797</v>
      </c>
      <c r="I237" t="s">
        <v>798</v>
      </c>
      <c r="K237">
        <f>COUNTIF(Sheet1!A:A,'2025_discovered_ijs_competition'!B237)</f>
        <v>0</v>
      </c>
    </row>
    <row r="238" spans="1:11" x14ac:dyDescent="0.2">
      <c r="A238">
        <v>2025</v>
      </c>
      <c r="B238">
        <v>36290</v>
      </c>
      <c r="C238" t="s">
        <v>799</v>
      </c>
      <c r="D238">
        <v>200</v>
      </c>
      <c r="E238" t="s">
        <v>800</v>
      </c>
      <c r="F238" s="1">
        <v>45847</v>
      </c>
      <c r="G238" s="1">
        <v>45851</v>
      </c>
      <c r="H238" t="s">
        <v>27</v>
      </c>
      <c r="I238" t="s">
        <v>798</v>
      </c>
      <c r="K238">
        <f>COUNTIF(Sheet1!A:A,'2025_discovered_ijs_competition'!B238)</f>
        <v>0</v>
      </c>
    </row>
    <row r="239" spans="1:11" x14ac:dyDescent="0.2">
      <c r="A239">
        <v>2025</v>
      </c>
      <c r="B239">
        <v>36291</v>
      </c>
      <c r="C239" t="s">
        <v>801</v>
      </c>
      <c r="D239">
        <v>200</v>
      </c>
      <c r="E239" t="s">
        <v>802</v>
      </c>
      <c r="F239" s="1">
        <v>45871</v>
      </c>
      <c r="G239" s="1">
        <v>45871</v>
      </c>
      <c r="H239" t="s">
        <v>803</v>
      </c>
      <c r="I239" t="s">
        <v>804</v>
      </c>
      <c r="K239">
        <f>COUNTIF(Sheet1!A:A,'2025_discovered_ijs_competition'!B239)</f>
        <v>0</v>
      </c>
    </row>
    <row r="240" spans="1:11" x14ac:dyDescent="0.2">
      <c r="A240">
        <v>2025</v>
      </c>
      <c r="B240">
        <v>36292</v>
      </c>
      <c r="C240" t="s">
        <v>805</v>
      </c>
      <c r="D240">
        <v>200</v>
      </c>
      <c r="E240" t="s">
        <v>806</v>
      </c>
      <c r="F240" s="1">
        <v>45866</v>
      </c>
      <c r="G240" s="1">
        <v>45871</v>
      </c>
      <c r="H240" t="s">
        <v>807</v>
      </c>
      <c r="I240" t="s">
        <v>804</v>
      </c>
      <c r="K240">
        <f>COUNTIF(Sheet1!A:A,'2025_discovered_ijs_competition'!B240)</f>
        <v>0</v>
      </c>
    </row>
    <row r="241" spans="1:11" x14ac:dyDescent="0.2">
      <c r="A241">
        <v>2025</v>
      </c>
      <c r="B241">
        <v>36295</v>
      </c>
      <c r="C241" t="s">
        <v>808</v>
      </c>
      <c r="D241">
        <v>200</v>
      </c>
      <c r="E241" t="s">
        <v>809</v>
      </c>
      <c r="F241" s="1">
        <v>45912</v>
      </c>
      <c r="G241" s="1">
        <v>45914</v>
      </c>
      <c r="H241" t="s">
        <v>113</v>
      </c>
      <c r="I241" t="s">
        <v>810</v>
      </c>
      <c r="K241">
        <f>COUNTIF(Sheet1!A:A,'2025_discovered_ijs_competition'!B241)</f>
        <v>0</v>
      </c>
    </row>
    <row r="242" spans="1:11" x14ac:dyDescent="0.2">
      <c r="A242">
        <v>2025</v>
      </c>
      <c r="B242">
        <v>36301</v>
      </c>
      <c r="C242" t="s">
        <v>811</v>
      </c>
      <c r="D242">
        <v>200</v>
      </c>
      <c r="E242" t="s">
        <v>812</v>
      </c>
      <c r="F242" s="1">
        <v>45890</v>
      </c>
      <c r="G242" s="1">
        <v>45893</v>
      </c>
      <c r="H242" t="s">
        <v>143</v>
      </c>
      <c r="I242" t="s">
        <v>813</v>
      </c>
      <c r="K242">
        <f>COUNTIF(Sheet1!A:A,'2025_discovered_ijs_competition'!B242)</f>
        <v>0</v>
      </c>
    </row>
    <row r="243" spans="1:11" x14ac:dyDescent="0.2">
      <c r="A243">
        <v>2025</v>
      </c>
      <c r="B243">
        <v>36302</v>
      </c>
      <c r="C243" t="s">
        <v>814</v>
      </c>
      <c r="D243">
        <v>200</v>
      </c>
      <c r="E243" t="s">
        <v>815</v>
      </c>
      <c r="F243" s="1">
        <v>45888</v>
      </c>
      <c r="G243" s="1">
        <v>45893</v>
      </c>
      <c r="H243" t="s">
        <v>699</v>
      </c>
      <c r="I243" t="s">
        <v>813</v>
      </c>
      <c r="K243">
        <f>COUNTIF(Sheet1!A:A,'2025_discovered_ijs_competition'!B243)</f>
        <v>0</v>
      </c>
    </row>
    <row r="244" spans="1:11" x14ac:dyDescent="0.2">
      <c r="A244">
        <v>2025</v>
      </c>
      <c r="B244">
        <v>36303</v>
      </c>
      <c r="C244" t="s">
        <v>816</v>
      </c>
      <c r="D244">
        <v>200</v>
      </c>
      <c r="E244" t="s">
        <v>817</v>
      </c>
      <c r="F244" s="1">
        <v>45870</v>
      </c>
      <c r="G244" s="1">
        <v>45872</v>
      </c>
      <c r="H244" t="s">
        <v>289</v>
      </c>
      <c r="I244" t="s">
        <v>818</v>
      </c>
      <c r="K244">
        <f>COUNTIF(Sheet1!A:A,'2025_discovered_ijs_competition'!B244)</f>
        <v>0</v>
      </c>
    </row>
    <row r="245" spans="1:11" x14ac:dyDescent="0.2">
      <c r="A245">
        <v>2025</v>
      </c>
      <c r="B245">
        <v>36305</v>
      </c>
      <c r="C245" t="s">
        <v>819</v>
      </c>
      <c r="D245">
        <v>200</v>
      </c>
      <c r="E245" t="s">
        <v>820</v>
      </c>
      <c r="F245" s="1">
        <v>45884</v>
      </c>
      <c r="G245" s="1">
        <v>45886</v>
      </c>
      <c r="H245" t="s">
        <v>821</v>
      </c>
      <c r="I245" t="s">
        <v>818</v>
      </c>
      <c r="K245">
        <f>COUNTIF(Sheet1!A:A,'2025_discovered_ijs_competition'!B245)</f>
        <v>0</v>
      </c>
    </row>
    <row r="246" spans="1:11" hidden="1" x14ac:dyDescent="0.2">
      <c r="A246">
        <v>2025</v>
      </c>
      <c r="B246">
        <v>36312</v>
      </c>
      <c r="C246" t="s">
        <v>822</v>
      </c>
      <c r="D246">
        <v>200</v>
      </c>
      <c r="E246" t="s">
        <v>823</v>
      </c>
      <c r="F246" s="1">
        <v>45873</v>
      </c>
      <c r="G246" s="1">
        <v>45877</v>
      </c>
      <c r="H246" t="s">
        <v>249</v>
      </c>
      <c r="I246" t="s">
        <v>824</v>
      </c>
      <c r="K246">
        <f>COUNTIF(Sheet1!A:A,'2025_discovered_ijs_competition'!B246)</f>
        <v>1</v>
      </c>
    </row>
    <row r="247" spans="1:11" x14ac:dyDescent="0.2">
      <c r="A247">
        <v>2025</v>
      </c>
      <c r="B247">
        <v>36314</v>
      </c>
      <c r="C247" t="s">
        <v>825</v>
      </c>
      <c r="D247">
        <v>200</v>
      </c>
      <c r="E247" t="s">
        <v>826</v>
      </c>
      <c r="F247" s="1">
        <v>45863</v>
      </c>
      <c r="G247" s="1">
        <v>45864</v>
      </c>
      <c r="H247" t="s">
        <v>827</v>
      </c>
      <c r="I247" t="s">
        <v>828</v>
      </c>
      <c r="K247">
        <f>COUNTIF(Sheet1!A:A,'2025_discovered_ijs_competition'!B247)</f>
        <v>0</v>
      </c>
    </row>
    <row r="248" spans="1:11" x14ac:dyDescent="0.2">
      <c r="A248">
        <v>2025</v>
      </c>
      <c r="B248">
        <v>36315</v>
      </c>
      <c r="C248" t="s">
        <v>829</v>
      </c>
      <c r="D248">
        <v>200</v>
      </c>
      <c r="E248" t="s">
        <v>830</v>
      </c>
      <c r="F248" s="1">
        <v>45918</v>
      </c>
      <c r="G248" s="1">
        <v>45921</v>
      </c>
      <c r="H248" t="s">
        <v>393</v>
      </c>
      <c r="I248" t="s">
        <v>828</v>
      </c>
      <c r="K248">
        <f>COUNTIF(Sheet1!A:A,'2025_discovered_ijs_competition'!B248)</f>
        <v>0</v>
      </c>
    </row>
    <row r="249" spans="1:11" x14ac:dyDescent="0.2">
      <c r="A249">
        <v>2025</v>
      </c>
      <c r="B249">
        <v>36317</v>
      </c>
      <c r="C249" t="s">
        <v>831</v>
      </c>
      <c r="D249">
        <v>200</v>
      </c>
      <c r="E249" t="s">
        <v>832</v>
      </c>
      <c r="F249" s="1">
        <v>45885</v>
      </c>
      <c r="G249" s="1">
        <v>45886</v>
      </c>
      <c r="H249" t="s">
        <v>833</v>
      </c>
      <c r="I249" t="s">
        <v>834</v>
      </c>
      <c r="K249">
        <f>COUNTIF(Sheet1!A:A,'2025_discovered_ijs_competition'!B249)</f>
        <v>0</v>
      </c>
    </row>
    <row r="250" spans="1:11" x14ac:dyDescent="0.2">
      <c r="A250">
        <v>2025</v>
      </c>
      <c r="B250">
        <v>36324</v>
      </c>
      <c r="C250" t="s">
        <v>835</v>
      </c>
      <c r="D250">
        <v>200</v>
      </c>
      <c r="E250" t="s">
        <v>836</v>
      </c>
      <c r="F250" s="1">
        <v>45919</v>
      </c>
      <c r="G250" s="1">
        <v>45921</v>
      </c>
      <c r="H250" t="s">
        <v>837</v>
      </c>
      <c r="I250" t="s">
        <v>838</v>
      </c>
      <c r="K250">
        <f>COUNTIF(Sheet1!A:A,'2025_discovered_ijs_competition'!B250)</f>
        <v>0</v>
      </c>
    </row>
    <row r="251" spans="1:11" x14ac:dyDescent="0.2">
      <c r="A251">
        <v>2025</v>
      </c>
      <c r="B251">
        <v>36330</v>
      </c>
      <c r="C251" t="s">
        <v>839</v>
      </c>
      <c r="D251">
        <v>200</v>
      </c>
      <c r="E251" t="s">
        <v>840</v>
      </c>
      <c r="F251" s="1">
        <v>45933</v>
      </c>
      <c r="G251" s="1">
        <v>45935</v>
      </c>
      <c r="H251" t="s">
        <v>137</v>
      </c>
      <c r="I251" t="s">
        <v>841</v>
      </c>
      <c r="K251">
        <f>COUNTIF(Sheet1!A:A,'2025_discovered_ijs_competition'!B251)</f>
        <v>0</v>
      </c>
    </row>
    <row r="252" spans="1:11" x14ac:dyDescent="0.2">
      <c r="A252">
        <v>2025</v>
      </c>
      <c r="B252">
        <v>36332</v>
      </c>
      <c r="C252" t="s">
        <v>842</v>
      </c>
      <c r="D252">
        <v>200</v>
      </c>
      <c r="E252" t="s">
        <v>843</v>
      </c>
      <c r="F252" s="1">
        <v>45976</v>
      </c>
      <c r="G252" s="1">
        <v>45976</v>
      </c>
      <c r="H252" t="s">
        <v>844</v>
      </c>
      <c r="I252" t="s">
        <v>841</v>
      </c>
      <c r="K252">
        <f>COUNTIF(Sheet1!A:A,'2025_discovered_ijs_competition'!B252)</f>
        <v>0</v>
      </c>
    </row>
    <row r="253" spans="1:11" x14ac:dyDescent="0.2">
      <c r="A253">
        <v>2025</v>
      </c>
      <c r="B253">
        <v>36336</v>
      </c>
      <c r="C253" t="s">
        <v>845</v>
      </c>
      <c r="D253">
        <v>200</v>
      </c>
      <c r="E253" t="s">
        <v>846</v>
      </c>
      <c r="F253" s="1">
        <v>45968</v>
      </c>
      <c r="G253" s="1">
        <v>45969</v>
      </c>
      <c r="H253" t="s">
        <v>847</v>
      </c>
      <c r="I253" t="s">
        <v>848</v>
      </c>
      <c r="K253">
        <f>COUNTIF(Sheet1!A:A,'2025_discovered_ijs_competition'!B253)</f>
        <v>0</v>
      </c>
    </row>
    <row r="254" spans="1:11" x14ac:dyDescent="0.2">
      <c r="A254">
        <v>2025</v>
      </c>
      <c r="B254">
        <v>36339</v>
      </c>
      <c r="C254" t="s">
        <v>849</v>
      </c>
      <c r="D254">
        <v>200</v>
      </c>
      <c r="E254" t="s">
        <v>850</v>
      </c>
      <c r="F254" s="1">
        <v>45926</v>
      </c>
      <c r="G254" s="1">
        <v>45928</v>
      </c>
      <c r="H254" t="s">
        <v>851</v>
      </c>
      <c r="I254" t="s">
        <v>852</v>
      </c>
      <c r="K254">
        <f>COUNTIF(Sheet1!A:A,'2025_discovered_ijs_competition'!B254)</f>
        <v>0</v>
      </c>
    </row>
    <row r="255" spans="1:11" x14ac:dyDescent="0.2">
      <c r="A255">
        <v>2025</v>
      </c>
      <c r="B255">
        <v>36343</v>
      </c>
      <c r="C255" t="s">
        <v>853</v>
      </c>
      <c r="D255">
        <v>200</v>
      </c>
      <c r="E255" t="s">
        <v>854</v>
      </c>
      <c r="F255" s="1">
        <v>45892</v>
      </c>
      <c r="G255" s="1">
        <v>45892</v>
      </c>
      <c r="H255" t="s">
        <v>559</v>
      </c>
      <c r="I255" t="s">
        <v>855</v>
      </c>
      <c r="K255">
        <f>COUNTIF(Sheet1!A:A,'2025_discovered_ijs_competition'!B255)</f>
        <v>0</v>
      </c>
    </row>
    <row r="256" spans="1:11" hidden="1" x14ac:dyDescent="0.2">
      <c r="A256">
        <v>2025</v>
      </c>
      <c r="B256">
        <v>36347</v>
      </c>
      <c r="C256" t="s">
        <v>856</v>
      </c>
      <c r="D256">
        <v>200</v>
      </c>
      <c r="E256" t="s">
        <v>857</v>
      </c>
      <c r="F256" s="1">
        <v>45948</v>
      </c>
      <c r="G256" s="1">
        <v>45948</v>
      </c>
      <c r="H256" t="s">
        <v>858</v>
      </c>
      <c r="I256" t="s">
        <v>855</v>
      </c>
      <c r="K256">
        <f>COUNTIF(Sheet1!A:A,'2025_discovered_ijs_competition'!B256)</f>
        <v>1</v>
      </c>
    </row>
    <row r="257" spans="1:11" x14ac:dyDescent="0.2">
      <c r="A257">
        <v>2025</v>
      </c>
      <c r="B257">
        <v>36351</v>
      </c>
      <c r="C257" t="s">
        <v>859</v>
      </c>
      <c r="D257">
        <v>200</v>
      </c>
      <c r="E257" t="s">
        <v>860</v>
      </c>
      <c r="F257" s="1">
        <v>45892</v>
      </c>
      <c r="G257" s="1">
        <v>45893</v>
      </c>
      <c r="H257" t="s">
        <v>861</v>
      </c>
      <c r="I257" t="s">
        <v>862</v>
      </c>
      <c r="K257">
        <f>COUNTIF(Sheet1!A:A,'2025_discovered_ijs_competition'!B257)</f>
        <v>0</v>
      </c>
    </row>
    <row r="258" spans="1:11" x14ac:dyDescent="0.2">
      <c r="A258">
        <v>2025</v>
      </c>
      <c r="B258">
        <v>36352</v>
      </c>
      <c r="C258" t="s">
        <v>863</v>
      </c>
      <c r="D258">
        <v>200</v>
      </c>
      <c r="E258" t="s">
        <v>864</v>
      </c>
      <c r="F258" s="1">
        <v>45885</v>
      </c>
      <c r="G258" s="1">
        <v>45886</v>
      </c>
      <c r="H258" t="s">
        <v>833</v>
      </c>
      <c r="I258" t="s">
        <v>865</v>
      </c>
      <c r="K258">
        <f>COUNTIF(Sheet1!A:A,'2025_discovered_ijs_competition'!B258)</f>
        <v>0</v>
      </c>
    </row>
    <row r="259" spans="1:11" hidden="1" x14ac:dyDescent="0.2">
      <c r="A259">
        <v>2025</v>
      </c>
      <c r="B259">
        <v>36353</v>
      </c>
      <c r="C259" t="s">
        <v>866</v>
      </c>
      <c r="D259">
        <v>200</v>
      </c>
      <c r="E259" t="s">
        <v>867</v>
      </c>
      <c r="F259" s="1">
        <v>45968</v>
      </c>
      <c r="G259" s="1">
        <v>45970</v>
      </c>
      <c r="H259" t="s">
        <v>38</v>
      </c>
      <c r="I259" t="s">
        <v>865</v>
      </c>
      <c r="K259">
        <f>COUNTIF(Sheet1!A:A,'2025_discovered_ijs_competition'!B259)</f>
        <v>1</v>
      </c>
    </row>
    <row r="260" spans="1:11" x14ac:dyDescent="0.2">
      <c r="A260">
        <v>2025</v>
      </c>
      <c r="B260">
        <v>36356</v>
      </c>
      <c r="C260" t="s">
        <v>868</v>
      </c>
      <c r="D260">
        <v>200</v>
      </c>
      <c r="E260" t="s">
        <v>869</v>
      </c>
      <c r="F260" s="1">
        <v>45968</v>
      </c>
      <c r="G260" s="1">
        <v>45969</v>
      </c>
      <c r="H260" t="s">
        <v>311</v>
      </c>
      <c r="I260" t="s">
        <v>865</v>
      </c>
      <c r="K260">
        <f>COUNTIF(Sheet1!A:A,'2025_discovered_ijs_competition'!B260)</f>
        <v>0</v>
      </c>
    </row>
    <row r="261" spans="1:11" x14ac:dyDescent="0.2">
      <c r="A261">
        <v>2025</v>
      </c>
      <c r="B261">
        <v>36360</v>
      </c>
      <c r="C261" t="s">
        <v>870</v>
      </c>
      <c r="D261">
        <v>200</v>
      </c>
      <c r="E261" t="s">
        <v>871</v>
      </c>
      <c r="F261" s="1">
        <v>45927</v>
      </c>
      <c r="G261" s="1">
        <v>45928</v>
      </c>
      <c r="H261" t="s">
        <v>20</v>
      </c>
      <c r="I261" t="s">
        <v>872</v>
      </c>
      <c r="K261">
        <f>COUNTIF(Sheet1!A:A,'2025_discovered_ijs_competition'!B261)</f>
        <v>0</v>
      </c>
    </row>
    <row r="262" spans="1:11" x14ac:dyDescent="0.2">
      <c r="A262">
        <v>2025</v>
      </c>
      <c r="B262">
        <v>36363</v>
      </c>
      <c r="C262" t="s">
        <v>873</v>
      </c>
      <c r="D262">
        <v>200</v>
      </c>
      <c r="E262" t="s">
        <v>874</v>
      </c>
      <c r="F262" s="1">
        <v>45954</v>
      </c>
      <c r="G262" s="1">
        <v>45955</v>
      </c>
      <c r="H262" t="s">
        <v>875</v>
      </c>
      <c r="I262" t="s">
        <v>876</v>
      </c>
      <c r="K262">
        <f>COUNTIF(Sheet1!A:A,'2025_discovered_ijs_competition'!B262)</f>
        <v>0</v>
      </c>
    </row>
    <row r="263" spans="1:11" x14ac:dyDescent="0.2">
      <c r="A263">
        <v>2025</v>
      </c>
      <c r="B263">
        <v>36365</v>
      </c>
      <c r="C263" t="s">
        <v>877</v>
      </c>
      <c r="D263">
        <v>200</v>
      </c>
      <c r="E263" t="s">
        <v>878</v>
      </c>
      <c r="F263" s="1">
        <v>45955</v>
      </c>
      <c r="G263" s="1">
        <v>45956</v>
      </c>
      <c r="H263" t="s">
        <v>462</v>
      </c>
      <c r="I263" t="s">
        <v>879</v>
      </c>
      <c r="K263">
        <f>COUNTIF(Sheet1!A:A,'2025_discovered_ijs_competition'!B263)</f>
        <v>0</v>
      </c>
    </row>
    <row r="264" spans="1:11" x14ac:dyDescent="0.2">
      <c r="A264">
        <v>2025</v>
      </c>
      <c r="B264">
        <v>36371</v>
      </c>
      <c r="C264" t="s">
        <v>880</v>
      </c>
      <c r="D264">
        <v>200</v>
      </c>
      <c r="E264" t="s">
        <v>881</v>
      </c>
      <c r="F264" s="1">
        <v>9416</v>
      </c>
      <c r="G264" s="1">
        <v>9417</v>
      </c>
      <c r="H264" t="s">
        <v>242</v>
      </c>
      <c r="I264" t="s">
        <v>882</v>
      </c>
      <c r="K264">
        <f>COUNTIF(Sheet1!A:A,'2025_discovered_ijs_competition'!B264)</f>
        <v>0</v>
      </c>
    </row>
    <row r="265" spans="1:11" x14ac:dyDescent="0.2">
      <c r="A265">
        <v>2025</v>
      </c>
      <c r="B265">
        <v>36373</v>
      </c>
      <c r="C265" t="s">
        <v>883</v>
      </c>
      <c r="D265">
        <v>200</v>
      </c>
      <c r="E265" t="s">
        <v>884</v>
      </c>
      <c r="F265" s="1">
        <v>45933</v>
      </c>
      <c r="G265" s="1">
        <v>45935</v>
      </c>
      <c r="H265" t="s">
        <v>214</v>
      </c>
      <c r="I265" t="s">
        <v>885</v>
      </c>
      <c r="K265">
        <f>COUNTIF(Sheet1!A:A,'2025_discovered_ijs_competition'!B265)</f>
        <v>0</v>
      </c>
    </row>
    <row r="266" spans="1:11" hidden="1" x14ac:dyDescent="0.2">
      <c r="A266">
        <v>2025</v>
      </c>
      <c r="B266">
        <v>36375</v>
      </c>
      <c r="C266" t="s">
        <v>886</v>
      </c>
      <c r="D266">
        <v>200</v>
      </c>
      <c r="E266" t="s">
        <v>887</v>
      </c>
      <c r="F266" s="1">
        <v>45947</v>
      </c>
      <c r="G266" s="1">
        <v>45949</v>
      </c>
      <c r="H266" t="s">
        <v>888</v>
      </c>
      <c r="I266" t="s">
        <v>889</v>
      </c>
      <c r="K266">
        <f>COUNTIF(Sheet1!A:A,'2025_discovered_ijs_competition'!B266)</f>
        <v>1</v>
      </c>
    </row>
    <row r="267" spans="1:11" x14ac:dyDescent="0.2">
      <c r="A267">
        <v>2025</v>
      </c>
      <c r="B267">
        <v>36377</v>
      </c>
      <c r="C267" t="s">
        <v>890</v>
      </c>
      <c r="D267">
        <v>200</v>
      </c>
      <c r="E267" t="s">
        <v>891</v>
      </c>
      <c r="F267" s="1">
        <v>9401</v>
      </c>
      <c r="G267" s="1">
        <v>9402</v>
      </c>
      <c r="H267" t="s">
        <v>16</v>
      </c>
      <c r="I267" t="s">
        <v>889</v>
      </c>
      <c r="K267">
        <f>COUNTIF(Sheet1!A:A,'2025_discovered_ijs_competition'!B267)</f>
        <v>0</v>
      </c>
    </row>
    <row r="268" spans="1:11" hidden="1" x14ac:dyDescent="0.2">
      <c r="A268">
        <v>2025</v>
      </c>
      <c r="B268">
        <v>36379</v>
      </c>
      <c r="C268" t="s">
        <v>892</v>
      </c>
      <c r="D268">
        <v>200</v>
      </c>
      <c r="E268" t="s">
        <v>893</v>
      </c>
      <c r="F268" s="1">
        <v>45982</v>
      </c>
      <c r="G268" s="1">
        <v>45984</v>
      </c>
      <c r="H268" t="s">
        <v>249</v>
      </c>
      <c r="I268" t="s">
        <v>894</v>
      </c>
      <c r="K268">
        <f>COUNTIF(Sheet1!A:A,'2025_discovered_ijs_competition'!B268)</f>
        <v>1</v>
      </c>
    </row>
    <row r="269" spans="1:11" x14ac:dyDescent="0.2">
      <c r="A269">
        <v>2025</v>
      </c>
      <c r="B269">
        <v>36381</v>
      </c>
      <c r="C269" t="s">
        <v>895</v>
      </c>
      <c r="D269">
        <v>200</v>
      </c>
      <c r="E269" t="s">
        <v>896</v>
      </c>
      <c r="F269" s="1">
        <v>45927</v>
      </c>
      <c r="G269" s="1">
        <v>45927</v>
      </c>
      <c r="H269" t="s">
        <v>495</v>
      </c>
      <c r="I269" t="s">
        <v>894</v>
      </c>
      <c r="K269">
        <f>COUNTIF(Sheet1!A:A,'2025_discovered_ijs_competition'!B269)</f>
        <v>0</v>
      </c>
    </row>
    <row r="270" spans="1:11" x14ac:dyDescent="0.2">
      <c r="A270">
        <v>2025</v>
      </c>
      <c r="B270">
        <v>36385</v>
      </c>
      <c r="C270" t="s">
        <v>897</v>
      </c>
      <c r="D270">
        <v>200</v>
      </c>
      <c r="E270" t="s">
        <v>898</v>
      </c>
      <c r="F270" s="1">
        <v>45956</v>
      </c>
      <c r="G270" s="1">
        <v>45956</v>
      </c>
      <c r="H270" t="s">
        <v>899</v>
      </c>
      <c r="I270" t="s">
        <v>900</v>
      </c>
      <c r="K270">
        <f>COUNTIF(Sheet1!A:A,'2025_discovered_ijs_competition'!B270)</f>
        <v>0</v>
      </c>
    </row>
    <row r="271" spans="1:11" x14ac:dyDescent="0.2">
      <c r="A271">
        <v>2025</v>
      </c>
      <c r="B271">
        <v>36389</v>
      </c>
      <c r="C271" t="s">
        <v>901</v>
      </c>
      <c r="D271">
        <v>200</v>
      </c>
      <c r="E271" t="s">
        <v>902</v>
      </c>
      <c r="F271" s="1">
        <v>45955</v>
      </c>
      <c r="G271" s="1">
        <v>45956</v>
      </c>
      <c r="H271" t="s">
        <v>903</v>
      </c>
      <c r="I271" t="s">
        <v>904</v>
      </c>
      <c r="K271">
        <f>COUNTIF(Sheet1!A:A,'2025_discovered_ijs_competition'!B271)</f>
        <v>0</v>
      </c>
    </row>
    <row r="272" spans="1:11" x14ac:dyDescent="0.2">
      <c r="A272">
        <v>2025</v>
      </c>
      <c r="B272">
        <v>36390</v>
      </c>
      <c r="C272" t="s">
        <v>905</v>
      </c>
      <c r="D272">
        <v>200</v>
      </c>
      <c r="E272" t="s">
        <v>906</v>
      </c>
      <c r="F272" s="1">
        <v>45946</v>
      </c>
      <c r="G272" s="1">
        <v>45949</v>
      </c>
      <c r="H272" t="s">
        <v>907</v>
      </c>
      <c r="I272" t="s">
        <v>904</v>
      </c>
      <c r="K272">
        <f>COUNTIF(Sheet1!A:A,'2025_discovered_ijs_competition'!B272)</f>
        <v>0</v>
      </c>
    </row>
    <row r="273" spans="1:11" x14ac:dyDescent="0.2">
      <c r="A273">
        <v>2025</v>
      </c>
      <c r="B273">
        <v>36392</v>
      </c>
      <c r="C273" t="s">
        <v>908</v>
      </c>
      <c r="D273">
        <v>200</v>
      </c>
      <c r="E273" t="s">
        <v>909</v>
      </c>
      <c r="F273" s="1">
        <v>45954</v>
      </c>
      <c r="G273" s="1">
        <v>45955</v>
      </c>
      <c r="H273" t="s">
        <v>910</v>
      </c>
      <c r="I273" t="s">
        <v>911</v>
      </c>
      <c r="K273">
        <f>COUNTIF(Sheet1!A:A,'2025_discovered_ijs_competition'!B273)</f>
        <v>0</v>
      </c>
    </row>
    <row r="274" spans="1:11" x14ac:dyDescent="0.2">
      <c r="A274">
        <v>2025</v>
      </c>
      <c r="B274">
        <v>36396</v>
      </c>
      <c r="C274" t="s">
        <v>912</v>
      </c>
      <c r="D274">
        <v>200</v>
      </c>
      <c r="E274" t="s">
        <v>913</v>
      </c>
      <c r="F274" s="1">
        <v>45933</v>
      </c>
      <c r="G274" s="1">
        <v>45935</v>
      </c>
      <c r="H274" t="s">
        <v>214</v>
      </c>
      <c r="I274" t="s">
        <v>914</v>
      </c>
      <c r="K274">
        <f>COUNTIF(Sheet1!A:A,'2025_discovered_ijs_competition'!B274)</f>
        <v>0</v>
      </c>
    </row>
    <row r="275" spans="1:11" hidden="1" x14ac:dyDescent="0.2">
      <c r="A275">
        <v>2025</v>
      </c>
      <c r="B275">
        <v>36397</v>
      </c>
      <c r="C275" t="s">
        <v>915</v>
      </c>
      <c r="D275">
        <v>200</v>
      </c>
      <c r="E275" t="s">
        <v>916</v>
      </c>
      <c r="F275" s="1">
        <v>45970</v>
      </c>
      <c r="G275" s="1">
        <v>45970</v>
      </c>
      <c r="H275" t="s">
        <v>592</v>
      </c>
      <c r="I275" t="s">
        <v>914</v>
      </c>
      <c r="K275">
        <f>COUNTIF(Sheet1!A:A,'2025_discovered_ijs_competition'!B275)</f>
        <v>1</v>
      </c>
    </row>
    <row r="276" spans="1:11" hidden="1" x14ac:dyDescent="0.2">
      <c r="A276">
        <v>2025</v>
      </c>
      <c r="B276">
        <v>36398</v>
      </c>
      <c r="C276" t="s">
        <v>917</v>
      </c>
      <c r="D276">
        <v>200</v>
      </c>
      <c r="E276" t="s">
        <v>918</v>
      </c>
      <c r="F276" s="1">
        <v>45969</v>
      </c>
      <c r="G276" s="1">
        <v>45969</v>
      </c>
      <c r="H276" t="s">
        <v>101</v>
      </c>
      <c r="I276" t="s">
        <v>914</v>
      </c>
      <c r="K276">
        <f>COUNTIF(Sheet1!A:A,'2025_discovered_ijs_competition'!B276)</f>
        <v>1</v>
      </c>
    </row>
    <row r="277" spans="1:11" hidden="1" x14ac:dyDescent="0.2">
      <c r="A277">
        <v>2025</v>
      </c>
      <c r="B277">
        <v>36402</v>
      </c>
      <c r="C277" t="s">
        <v>919</v>
      </c>
      <c r="D277">
        <v>200</v>
      </c>
      <c r="E277" t="s">
        <v>920</v>
      </c>
      <c r="F277" s="1">
        <v>45976</v>
      </c>
      <c r="G277" s="1">
        <v>45976</v>
      </c>
      <c r="H277" t="s">
        <v>921</v>
      </c>
      <c r="I277" t="s">
        <v>922</v>
      </c>
      <c r="K277">
        <f>COUNTIF(Sheet1!A:A,'2025_discovered_ijs_competition'!B277)</f>
        <v>1</v>
      </c>
    </row>
    <row r="278" spans="1:11" hidden="1" x14ac:dyDescent="0.2">
      <c r="A278">
        <v>2025</v>
      </c>
      <c r="B278">
        <v>36406</v>
      </c>
      <c r="C278" t="s">
        <v>923</v>
      </c>
      <c r="D278">
        <v>200</v>
      </c>
      <c r="E278" t="s">
        <v>924</v>
      </c>
      <c r="F278" s="1">
        <v>46003</v>
      </c>
      <c r="G278" s="1">
        <v>46005</v>
      </c>
      <c r="H278" t="s">
        <v>429</v>
      </c>
      <c r="I278" t="s">
        <v>925</v>
      </c>
      <c r="K278">
        <f>COUNTIF(Sheet1!A:A,'2025_discovered_ijs_competition'!B278)</f>
        <v>1</v>
      </c>
    </row>
    <row r="279" spans="1:11" x14ac:dyDescent="0.2">
      <c r="A279">
        <v>2025</v>
      </c>
      <c r="B279">
        <v>36413</v>
      </c>
      <c r="C279" t="s">
        <v>926</v>
      </c>
      <c r="D279">
        <v>200</v>
      </c>
      <c r="E279" t="s">
        <v>927</v>
      </c>
      <c r="F279" s="1">
        <v>45941</v>
      </c>
      <c r="G279" s="1">
        <v>45941</v>
      </c>
      <c r="H279" t="s">
        <v>928</v>
      </c>
      <c r="I279" t="s">
        <v>929</v>
      </c>
      <c r="K279">
        <f>COUNTIF(Sheet1!A:A,'2025_discovered_ijs_competition'!B279)</f>
        <v>0</v>
      </c>
    </row>
    <row r="280" spans="1:11" hidden="1" x14ac:dyDescent="0.2">
      <c r="A280">
        <v>2025</v>
      </c>
      <c r="B280">
        <v>36430</v>
      </c>
      <c r="C280" t="s">
        <v>930</v>
      </c>
      <c r="D280">
        <v>200</v>
      </c>
      <c r="E280" t="s">
        <v>931</v>
      </c>
      <c r="F280" s="1">
        <v>45962</v>
      </c>
      <c r="G280" s="1">
        <v>45962</v>
      </c>
      <c r="H280" t="s">
        <v>187</v>
      </c>
      <c r="I280" t="s">
        <v>932</v>
      </c>
      <c r="K280">
        <f>COUNTIF(Sheet1!A:A,'2025_discovered_ijs_competition'!B280)</f>
        <v>1</v>
      </c>
    </row>
    <row r="281" spans="1:11" x14ac:dyDescent="0.2">
      <c r="A281">
        <v>2025</v>
      </c>
      <c r="B281">
        <v>36432</v>
      </c>
      <c r="C281" t="s">
        <v>933</v>
      </c>
      <c r="D281">
        <v>200</v>
      </c>
      <c r="E281" t="s">
        <v>934</v>
      </c>
      <c r="F281" s="1">
        <v>45941</v>
      </c>
      <c r="G281" s="1">
        <v>45941</v>
      </c>
      <c r="H281" t="s">
        <v>935</v>
      </c>
      <c r="I281" t="s">
        <v>936</v>
      </c>
      <c r="K281">
        <f>COUNTIF(Sheet1!A:A,'2025_discovered_ijs_competition'!B281)</f>
        <v>0</v>
      </c>
    </row>
    <row r="282" spans="1:11" x14ac:dyDescent="0.2">
      <c r="A282">
        <v>2025</v>
      </c>
      <c r="B282">
        <v>36436</v>
      </c>
      <c r="C282" t="s">
        <v>937</v>
      </c>
      <c r="D282">
        <v>200</v>
      </c>
      <c r="E282" t="s">
        <v>938</v>
      </c>
      <c r="F282" s="1">
        <v>45975</v>
      </c>
      <c r="G282" s="1">
        <v>45977</v>
      </c>
      <c r="H282" t="s">
        <v>939</v>
      </c>
      <c r="I282" t="s">
        <v>940</v>
      </c>
      <c r="K282">
        <f>COUNTIF(Sheet1!A:A,'2025_discovered_ijs_competition'!B282)</f>
        <v>0</v>
      </c>
    </row>
    <row r="283" spans="1:11" x14ac:dyDescent="0.2">
      <c r="A283">
        <v>2025</v>
      </c>
      <c r="B283">
        <v>36440</v>
      </c>
      <c r="C283" t="s">
        <v>941</v>
      </c>
      <c r="D283">
        <v>200</v>
      </c>
      <c r="E283" t="s">
        <v>942</v>
      </c>
      <c r="F283" s="1">
        <v>45977</v>
      </c>
      <c r="G283" s="1">
        <v>45977</v>
      </c>
      <c r="H283" t="s">
        <v>242</v>
      </c>
      <c r="I283" t="s">
        <v>943</v>
      </c>
      <c r="K283">
        <f>COUNTIF(Sheet1!A:A,'2025_discovered_ijs_competition'!B283)</f>
        <v>0</v>
      </c>
    </row>
    <row r="284" spans="1:11" x14ac:dyDescent="0.2">
      <c r="A284">
        <v>2025</v>
      </c>
      <c r="B284">
        <v>36456</v>
      </c>
      <c r="C284" t="s">
        <v>944</v>
      </c>
      <c r="D284">
        <v>200</v>
      </c>
      <c r="E284" t="s">
        <v>945</v>
      </c>
      <c r="F284" s="1">
        <v>45982</v>
      </c>
      <c r="G284" s="1">
        <v>45983</v>
      </c>
      <c r="H284" t="s">
        <v>946</v>
      </c>
      <c r="I284" t="s">
        <v>947</v>
      </c>
      <c r="K284">
        <f>COUNTIF(Sheet1!A:A,'2025_discovered_ijs_competition'!B284)</f>
        <v>0</v>
      </c>
    </row>
    <row r="285" spans="1:11" hidden="1" x14ac:dyDescent="0.2">
      <c r="A285">
        <v>2025</v>
      </c>
      <c r="B285">
        <v>36459</v>
      </c>
      <c r="C285" t="s">
        <v>948</v>
      </c>
      <c r="D285">
        <v>200</v>
      </c>
      <c r="E285" t="s">
        <v>949</v>
      </c>
      <c r="F285" s="1">
        <v>45996</v>
      </c>
      <c r="G285" s="1">
        <v>45998</v>
      </c>
      <c r="H285" t="s">
        <v>311</v>
      </c>
      <c r="I285" t="s">
        <v>950</v>
      </c>
      <c r="K285">
        <f>COUNTIF(Sheet1!A:A,'2025_discovered_ijs_competition'!B285)</f>
        <v>1</v>
      </c>
    </row>
    <row r="286" spans="1:11" hidden="1" x14ac:dyDescent="0.2">
      <c r="A286">
        <v>2025</v>
      </c>
      <c r="B286">
        <v>36460</v>
      </c>
      <c r="C286" t="s">
        <v>951</v>
      </c>
      <c r="D286">
        <v>200</v>
      </c>
      <c r="E286" t="s">
        <v>952</v>
      </c>
      <c r="F286" s="1">
        <v>45997</v>
      </c>
      <c r="G286" s="1">
        <v>45998</v>
      </c>
      <c r="H286" t="s">
        <v>953</v>
      </c>
      <c r="I286" t="s">
        <v>950</v>
      </c>
      <c r="K286">
        <f>COUNTIF(Sheet1!A:A,'2025_discovered_ijs_competition'!B286)</f>
        <v>1</v>
      </c>
    </row>
    <row r="287" spans="1:11" hidden="1" x14ac:dyDescent="0.2">
      <c r="A287">
        <v>2025</v>
      </c>
      <c r="B287">
        <v>36463</v>
      </c>
      <c r="C287" t="s">
        <v>954</v>
      </c>
      <c r="D287">
        <v>200</v>
      </c>
      <c r="E287" t="s">
        <v>955</v>
      </c>
      <c r="F287" s="1">
        <v>45963</v>
      </c>
      <c r="G287" s="1">
        <v>45963</v>
      </c>
      <c r="H287" t="s">
        <v>875</v>
      </c>
      <c r="I287" t="s">
        <v>956</v>
      </c>
      <c r="K287">
        <f>COUNTIF(Sheet1!A:A,'2025_discovered_ijs_competition'!B287)</f>
        <v>1</v>
      </c>
    </row>
    <row r="288" spans="1:11" x14ac:dyDescent="0.2">
      <c r="A288">
        <v>2025</v>
      </c>
      <c r="B288">
        <v>36464</v>
      </c>
      <c r="C288" t="s">
        <v>957</v>
      </c>
      <c r="D288">
        <v>200</v>
      </c>
      <c r="E288" t="s">
        <v>958</v>
      </c>
      <c r="F288" s="1">
        <v>45961</v>
      </c>
      <c r="G288" s="1">
        <v>45963</v>
      </c>
      <c r="H288" t="s">
        <v>959</v>
      </c>
      <c r="I288" t="s">
        <v>956</v>
      </c>
      <c r="K288">
        <f>COUNTIF(Sheet1!A:A,'2025_discovered_ijs_competition'!B288)</f>
        <v>0</v>
      </c>
    </row>
    <row r="289" spans="1:11" hidden="1" x14ac:dyDescent="0.2">
      <c r="A289">
        <v>2025</v>
      </c>
      <c r="B289">
        <v>36471</v>
      </c>
      <c r="C289" t="s">
        <v>960</v>
      </c>
      <c r="D289">
        <v>200</v>
      </c>
      <c r="E289" t="s">
        <v>961</v>
      </c>
      <c r="F289" s="1">
        <v>45982</v>
      </c>
      <c r="G289" s="1">
        <v>45984</v>
      </c>
      <c r="H289" t="s">
        <v>35</v>
      </c>
      <c r="I289" t="s">
        <v>962</v>
      </c>
      <c r="K289">
        <f>COUNTIF(Sheet1!A:A,'2025_discovered_ijs_competition'!B289)</f>
        <v>1</v>
      </c>
    </row>
    <row r="290" spans="1:11" x14ac:dyDescent="0.2">
      <c r="A290">
        <v>2025</v>
      </c>
      <c r="B290">
        <v>36492</v>
      </c>
      <c r="C290" t="s">
        <v>963</v>
      </c>
      <c r="D290">
        <v>200</v>
      </c>
      <c r="E290" t="s">
        <v>964</v>
      </c>
      <c r="F290" s="1">
        <v>45956</v>
      </c>
      <c r="G290" s="1">
        <v>45956</v>
      </c>
      <c r="H290" t="s">
        <v>965</v>
      </c>
      <c r="I290" t="s">
        <v>966</v>
      </c>
      <c r="K290">
        <f>COUNTIF(Sheet1!A:A,'2025_discovered_ijs_competition'!B290)</f>
        <v>0</v>
      </c>
    </row>
    <row r="291" spans="1:11" x14ac:dyDescent="0.2">
      <c r="A291">
        <v>2025</v>
      </c>
      <c r="B291">
        <v>36499</v>
      </c>
      <c r="C291" t="s">
        <v>967</v>
      </c>
      <c r="D291">
        <v>200</v>
      </c>
      <c r="E291" t="s">
        <v>968</v>
      </c>
      <c r="F291" s="1">
        <v>46018</v>
      </c>
      <c r="G291" s="1">
        <v>46018</v>
      </c>
      <c r="H291" t="s">
        <v>603</v>
      </c>
      <c r="I291" t="s">
        <v>969</v>
      </c>
      <c r="K291">
        <f>COUNTIF(Sheet1!A:A,'2025_discovered_ijs_competition'!B291)</f>
        <v>0</v>
      </c>
    </row>
    <row r="292" spans="1:11" x14ac:dyDescent="0.2">
      <c r="A292">
        <v>2025</v>
      </c>
      <c r="B292">
        <v>36504</v>
      </c>
      <c r="C292" t="s">
        <v>970</v>
      </c>
      <c r="D292">
        <v>200</v>
      </c>
      <c r="E292" t="s">
        <v>971</v>
      </c>
      <c r="F292" s="1">
        <v>45983</v>
      </c>
      <c r="G292" s="1">
        <v>45984</v>
      </c>
      <c r="H292" t="s">
        <v>282</v>
      </c>
      <c r="I292" t="s">
        <v>972</v>
      </c>
      <c r="K292">
        <f>COUNTIF(Sheet1!A:A,'2025_discovered_ijs_competition'!B292)</f>
        <v>0</v>
      </c>
    </row>
    <row r="293" spans="1:11" hidden="1" x14ac:dyDescent="0.2">
      <c r="A293">
        <v>2025</v>
      </c>
      <c r="B293">
        <v>36539</v>
      </c>
      <c r="C293" t="s">
        <v>973</v>
      </c>
      <c r="D293">
        <v>200</v>
      </c>
      <c r="E293" t="s">
        <v>974</v>
      </c>
      <c r="F293" s="1">
        <v>46004</v>
      </c>
      <c r="G293" s="1">
        <v>46005</v>
      </c>
      <c r="H293" t="s">
        <v>851</v>
      </c>
      <c r="I293" t="s">
        <v>975</v>
      </c>
      <c r="K293">
        <f>COUNTIF(Sheet1!A:A,'2025_discovered_ijs_competition'!B293)</f>
        <v>1</v>
      </c>
    </row>
    <row r="294" spans="1:11" x14ac:dyDescent="0.2">
      <c r="A294">
        <v>2025</v>
      </c>
      <c r="B294">
        <v>36588</v>
      </c>
      <c r="C294" t="s">
        <v>976</v>
      </c>
      <c r="D294">
        <v>200</v>
      </c>
      <c r="E294" t="s">
        <v>977</v>
      </c>
      <c r="F294" s="1">
        <v>45969</v>
      </c>
      <c r="G294" s="1">
        <v>45970</v>
      </c>
      <c r="H294" t="s">
        <v>345</v>
      </c>
      <c r="I294" t="s">
        <v>978</v>
      </c>
      <c r="K294">
        <f>COUNTIF(Sheet1!A:A,'2025_discovered_ijs_competition'!B294)</f>
        <v>0</v>
      </c>
    </row>
    <row r="295" spans="1:11" x14ac:dyDescent="0.2">
      <c r="A295">
        <v>2025</v>
      </c>
      <c r="B295">
        <v>36617</v>
      </c>
      <c r="C295" t="s">
        <v>979</v>
      </c>
      <c r="D295">
        <v>200</v>
      </c>
      <c r="E295" t="s">
        <v>980</v>
      </c>
      <c r="F295" s="1">
        <v>45998</v>
      </c>
      <c r="G295" s="1">
        <v>45998</v>
      </c>
      <c r="H295" t="s">
        <v>981</v>
      </c>
      <c r="I295" t="s">
        <v>982</v>
      </c>
      <c r="K295">
        <f>COUNTIF(Sheet1!A:A,'2025_discovered_ijs_competition'!B295)</f>
        <v>0</v>
      </c>
    </row>
    <row r="296" spans="1:11" x14ac:dyDescent="0.2">
      <c r="A296">
        <v>2025</v>
      </c>
      <c r="B296">
        <v>36623</v>
      </c>
      <c r="C296" t="s">
        <v>983</v>
      </c>
      <c r="D296">
        <v>200</v>
      </c>
      <c r="E296" t="s">
        <v>984</v>
      </c>
      <c r="F296" s="1">
        <v>45996</v>
      </c>
      <c r="G296" s="1">
        <v>45997</v>
      </c>
      <c r="H296" t="s">
        <v>985</v>
      </c>
      <c r="I296" t="s">
        <v>986</v>
      </c>
      <c r="K296">
        <f>COUNTIF(Sheet1!A:A,'2025_discovered_ijs_competition'!B296)</f>
        <v>0</v>
      </c>
    </row>
    <row r="297" spans="1:11" hidden="1" x14ac:dyDescent="0.2">
      <c r="A297">
        <v>2025</v>
      </c>
      <c r="B297">
        <v>36628</v>
      </c>
      <c r="C297" t="s">
        <v>987</v>
      </c>
      <c r="D297">
        <v>200</v>
      </c>
      <c r="E297" t="s">
        <v>988</v>
      </c>
      <c r="F297" s="1">
        <v>46003</v>
      </c>
      <c r="G297" s="1">
        <v>46004</v>
      </c>
      <c r="H297" t="s">
        <v>249</v>
      </c>
      <c r="I297" t="s">
        <v>989</v>
      </c>
      <c r="K297">
        <f>COUNTIF(Sheet1!A:A,'2025_discovered_ijs_competition'!B297)</f>
        <v>1</v>
      </c>
    </row>
    <row r="298" spans="1:11" hidden="1" x14ac:dyDescent="0.2">
      <c r="A298">
        <v>2025</v>
      </c>
      <c r="B298">
        <v>36658</v>
      </c>
      <c r="C298" t="s">
        <v>990</v>
      </c>
      <c r="D298">
        <v>200</v>
      </c>
      <c r="E298" t="s">
        <v>991</v>
      </c>
      <c r="F298" s="1">
        <v>46003</v>
      </c>
      <c r="G298" s="1">
        <v>46004</v>
      </c>
      <c r="H298" t="s">
        <v>992</v>
      </c>
      <c r="I298" t="s">
        <v>993</v>
      </c>
      <c r="K298">
        <f>COUNTIF(Sheet1!A:A,'2025_discovered_ijs_competition'!B298)</f>
        <v>1</v>
      </c>
    </row>
    <row r="299" spans="1:11" x14ac:dyDescent="0.2">
      <c r="A299">
        <v>2025</v>
      </c>
      <c r="B299">
        <v>36746</v>
      </c>
      <c r="C299" t="s">
        <v>994</v>
      </c>
      <c r="D299">
        <v>200</v>
      </c>
      <c r="E299" t="s">
        <v>995</v>
      </c>
      <c r="F299" s="1">
        <v>45997</v>
      </c>
      <c r="G299" s="1">
        <v>45998</v>
      </c>
      <c r="H299" t="s">
        <v>996</v>
      </c>
      <c r="I299" t="s">
        <v>997</v>
      </c>
      <c r="K299">
        <f>COUNTIF(Sheet1!A:A,'2025_discovered_ijs_competition'!B299)</f>
        <v>0</v>
      </c>
    </row>
    <row r="301" spans="1:11" x14ac:dyDescent="0.2">
      <c r="J301" t="s">
        <v>999</v>
      </c>
      <c r="K301">
        <f>SUM(K2:K299)</f>
        <v>61</v>
      </c>
    </row>
    <row r="302" spans="1:11" x14ac:dyDescent="0.2">
      <c r="J302" t="s">
        <v>1000</v>
      </c>
      <c r="K302">
        <f>COUNTA(A2:A299)-K301</f>
        <v>237</v>
      </c>
    </row>
  </sheetData>
  <autoFilter ref="A1:K299" xr:uid="{B0603B80-4A12-FC44-9DD9-D950C6E2DCC7}">
    <filterColumn colId="10">
      <filters>
        <filter val="0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B5049-D165-BF48-9D27-63D0016D2C2D}">
  <dimension ref="A1:B63"/>
  <sheetViews>
    <sheetView topLeftCell="A21" workbookViewId="0">
      <selection activeCell="F41" sqref="F41"/>
    </sheetView>
  </sheetViews>
  <sheetFormatPr baseColWidth="10" defaultRowHeight="16" x14ac:dyDescent="0.2"/>
  <sheetData>
    <row r="1" spans="1:2" x14ac:dyDescent="0.2">
      <c r="A1" t="s">
        <v>998</v>
      </c>
    </row>
    <row r="2" spans="1:2" x14ac:dyDescent="0.2">
      <c r="A2">
        <v>34237</v>
      </c>
      <c r="B2">
        <f>COUNTIF('2025_discovered_ijs_competition'!B:B,Sheet1!A2)</f>
        <v>1</v>
      </c>
    </row>
    <row r="3" spans="1:2" x14ac:dyDescent="0.2">
      <c r="A3">
        <v>34239</v>
      </c>
      <c r="B3">
        <f>COUNTIF('2025_discovered_ijs_competition'!B:B,Sheet1!A3)</f>
        <v>1</v>
      </c>
    </row>
    <row r="4" spans="1:2" x14ac:dyDescent="0.2">
      <c r="A4">
        <v>34240</v>
      </c>
      <c r="B4">
        <f>COUNTIF('2025_discovered_ijs_competition'!B:B,Sheet1!A4)</f>
        <v>1</v>
      </c>
    </row>
    <row r="5" spans="1:2" x14ac:dyDescent="0.2">
      <c r="A5">
        <v>34241</v>
      </c>
      <c r="B5">
        <f>COUNTIF('2025_discovered_ijs_competition'!B:B,Sheet1!A5)</f>
        <v>1</v>
      </c>
    </row>
    <row r="6" spans="1:2" x14ac:dyDescent="0.2">
      <c r="A6">
        <v>34252</v>
      </c>
      <c r="B6">
        <f>COUNTIF('2025_discovered_ijs_competition'!B:B,Sheet1!A6)</f>
        <v>1</v>
      </c>
    </row>
    <row r="7" spans="1:2" x14ac:dyDescent="0.2">
      <c r="A7">
        <v>34253</v>
      </c>
      <c r="B7">
        <f>COUNTIF('2025_discovered_ijs_competition'!B:B,Sheet1!A7)</f>
        <v>1</v>
      </c>
    </row>
    <row r="8" spans="1:2" x14ac:dyDescent="0.2">
      <c r="A8">
        <v>34254</v>
      </c>
      <c r="B8">
        <f>COUNTIF('2025_discovered_ijs_competition'!B:B,Sheet1!A8)</f>
        <v>1</v>
      </c>
    </row>
    <row r="9" spans="1:2" x14ac:dyDescent="0.2">
      <c r="A9">
        <v>35103</v>
      </c>
      <c r="B9">
        <f>COUNTIF('2025_discovered_ijs_competition'!B:B,Sheet1!A9)</f>
        <v>1</v>
      </c>
    </row>
    <row r="10" spans="1:2" x14ac:dyDescent="0.2">
      <c r="A10">
        <v>35490</v>
      </c>
      <c r="B10">
        <f>COUNTIF('2025_discovered_ijs_competition'!B:B,Sheet1!A10)</f>
        <v>1</v>
      </c>
    </row>
    <row r="11" spans="1:2" x14ac:dyDescent="0.2">
      <c r="A11">
        <v>35539</v>
      </c>
      <c r="B11">
        <f>COUNTIF('2025_discovered_ijs_competition'!B:B,Sheet1!A11)</f>
        <v>1</v>
      </c>
    </row>
    <row r="12" spans="1:2" x14ac:dyDescent="0.2">
      <c r="A12">
        <v>35551</v>
      </c>
      <c r="B12">
        <f>COUNTIF('2025_discovered_ijs_competition'!B:B,Sheet1!A12)</f>
        <v>1</v>
      </c>
    </row>
    <row r="13" spans="1:2" x14ac:dyDescent="0.2">
      <c r="A13">
        <v>35569</v>
      </c>
      <c r="B13">
        <f>COUNTIF('2025_discovered_ijs_competition'!B:B,Sheet1!A13)</f>
        <v>1</v>
      </c>
    </row>
    <row r="14" spans="1:2" x14ac:dyDescent="0.2">
      <c r="A14">
        <v>35601</v>
      </c>
      <c r="B14">
        <f>COUNTIF('2025_discovered_ijs_competition'!B:B,Sheet1!A14)</f>
        <v>1</v>
      </c>
    </row>
    <row r="15" spans="1:2" x14ac:dyDescent="0.2">
      <c r="A15">
        <v>35612</v>
      </c>
      <c r="B15">
        <f>COUNTIF('2025_discovered_ijs_competition'!B:B,Sheet1!A15)</f>
        <v>1</v>
      </c>
    </row>
    <row r="16" spans="1:2" x14ac:dyDescent="0.2">
      <c r="A16">
        <v>35636</v>
      </c>
      <c r="B16">
        <f>COUNTIF('2025_discovered_ijs_competition'!B:B,Sheet1!A16)</f>
        <v>1</v>
      </c>
    </row>
    <row r="17" spans="1:2" x14ac:dyDescent="0.2">
      <c r="A17">
        <v>35638</v>
      </c>
      <c r="B17">
        <f>COUNTIF('2025_discovered_ijs_competition'!B:B,Sheet1!A17)</f>
        <v>1</v>
      </c>
    </row>
    <row r="18" spans="1:2" x14ac:dyDescent="0.2">
      <c r="A18">
        <v>35645</v>
      </c>
      <c r="B18">
        <f>COUNTIF('2025_discovered_ijs_competition'!B:B,Sheet1!A18)</f>
        <v>1</v>
      </c>
    </row>
    <row r="19" spans="1:2" x14ac:dyDescent="0.2">
      <c r="A19">
        <v>35653</v>
      </c>
      <c r="B19">
        <f>COUNTIF('2025_discovered_ijs_competition'!B:B,Sheet1!A19)</f>
        <v>1</v>
      </c>
    </row>
    <row r="20" spans="1:2" x14ac:dyDescent="0.2">
      <c r="A20">
        <v>35664</v>
      </c>
      <c r="B20">
        <f>COUNTIF('2025_discovered_ijs_competition'!B:B,Sheet1!A20)</f>
        <v>1</v>
      </c>
    </row>
    <row r="21" spans="1:2" x14ac:dyDescent="0.2">
      <c r="A21">
        <v>35672</v>
      </c>
      <c r="B21">
        <f>COUNTIF('2025_discovered_ijs_competition'!B:B,Sheet1!A21)</f>
        <v>1</v>
      </c>
    </row>
    <row r="22" spans="1:2" x14ac:dyDescent="0.2">
      <c r="A22">
        <v>35701</v>
      </c>
      <c r="B22">
        <f>COUNTIF('2025_discovered_ijs_competition'!B:B,Sheet1!A22)</f>
        <v>1</v>
      </c>
    </row>
    <row r="23" spans="1:2" x14ac:dyDescent="0.2">
      <c r="A23">
        <v>35719</v>
      </c>
      <c r="B23">
        <f>COUNTIF('2025_discovered_ijs_competition'!B:B,Sheet1!A23)</f>
        <v>1</v>
      </c>
    </row>
    <row r="24" spans="1:2" x14ac:dyDescent="0.2">
      <c r="A24">
        <v>35734</v>
      </c>
      <c r="B24">
        <f>COUNTIF('2025_discovered_ijs_competition'!B:B,Sheet1!A24)</f>
        <v>1</v>
      </c>
    </row>
    <row r="25" spans="1:2" x14ac:dyDescent="0.2">
      <c r="A25">
        <v>35743</v>
      </c>
      <c r="B25">
        <f>COUNTIF('2025_discovered_ijs_competition'!B:B,Sheet1!A25)</f>
        <v>1</v>
      </c>
    </row>
    <row r="26" spans="1:2" x14ac:dyDescent="0.2">
      <c r="A26">
        <v>35755</v>
      </c>
      <c r="B26">
        <f>COUNTIF('2025_discovered_ijs_competition'!B:B,Sheet1!A26)</f>
        <v>1</v>
      </c>
    </row>
    <row r="27" spans="1:2" x14ac:dyDescent="0.2">
      <c r="A27">
        <v>35783</v>
      </c>
      <c r="B27">
        <f>COUNTIF('2025_discovered_ijs_competition'!B:B,Sheet1!A27)</f>
        <v>1</v>
      </c>
    </row>
    <row r="28" spans="1:2" x14ac:dyDescent="0.2">
      <c r="A28">
        <v>35800</v>
      </c>
      <c r="B28">
        <f>COUNTIF('2025_discovered_ijs_competition'!B:B,Sheet1!A28)</f>
        <v>1</v>
      </c>
    </row>
    <row r="29" spans="1:2" x14ac:dyDescent="0.2">
      <c r="A29">
        <v>35821</v>
      </c>
      <c r="B29">
        <f>COUNTIF('2025_discovered_ijs_competition'!B:B,Sheet1!A29)</f>
        <v>1</v>
      </c>
    </row>
    <row r="30" spans="1:2" x14ac:dyDescent="0.2">
      <c r="A30">
        <v>35869</v>
      </c>
      <c r="B30">
        <f>COUNTIF('2025_discovered_ijs_competition'!B:B,Sheet1!A30)</f>
        <v>1</v>
      </c>
    </row>
    <row r="31" spans="1:2" x14ac:dyDescent="0.2">
      <c r="A31">
        <v>35890</v>
      </c>
      <c r="B31">
        <f>COUNTIF('2025_discovered_ijs_competition'!B:B,Sheet1!A31)</f>
        <v>1</v>
      </c>
    </row>
    <row r="32" spans="1:2" x14ac:dyDescent="0.2">
      <c r="A32">
        <v>35891</v>
      </c>
      <c r="B32">
        <f>COUNTIF('2025_discovered_ijs_competition'!B:B,Sheet1!A32)</f>
        <v>1</v>
      </c>
    </row>
    <row r="33" spans="1:2" x14ac:dyDescent="0.2">
      <c r="A33">
        <v>35895</v>
      </c>
      <c r="B33">
        <f>COUNTIF('2025_discovered_ijs_competition'!B:B,Sheet1!A33)</f>
        <v>1</v>
      </c>
    </row>
    <row r="34" spans="1:2" x14ac:dyDescent="0.2">
      <c r="A34">
        <v>35899</v>
      </c>
      <c r="B34">
        <f>COUNTIF('2025_discovered_ijs_competition'!B:B,Sheet1!A34)</f>
        <v>1</v>
      </c>
    </row>
    <row r="35" spans="1:2" x14ac:dyDescent="0.2">
      <c r="A35">
        <v>35900</v>
      </c>
      <c r="B35">
        <f>COUNTIF('2025_discovered_ijs_competition'!B:B,Sheet1!A35)</f>
        <v>1</v>
      </c>
    </row>
    <row r="36" spans="1:2" x14ac:dyDescent="0.2">
      <c r="A36">
        <v>35905</v>
      </c>
      <c r="B36">
        <f>COUNTIF('2025_discovered_ijs_competition'!B:B,Sheet1!A36)</f>
        <v>1</v>
      </c>
    </row>
    <row r="37" spans="1:2" x14ac:dyDescent="0.2">
      <c r="A37">
        <v>36046</v>
      </c>
      <c r="B37">
        <f>COUNTIF('2025_discovered_ijs_competition'!B:B,Sheet1!A37)</f>
        <v>1</v>
      </c>
    </row>
    <row r="38" spans="1:2" x14ac:dyDescent="0.2">
      <c r="A38">
        <v>36136</v>
      </c>
      <c r="B38">
        <f>COUNTIF('2025_discovered_ijs_competition'!B:B,Sheet1!A38)</f>
        <v>1</v>
      </c>
    </row>
    <row r="39" spans="1:2" x14ac:dyDescent="0.2">
      <c r="A39">
        <v>36179</v>
      </c>
      <c r="B39">
        <f>COUNTIF('2025_discovered_ijs_competition'!B:B,Sheet1!A39)</f>
        <v>1</v>
      </c>
    </row>
    <row r="40" spans="1:2" x14ac:dyDescent="0.2">
      <c r="A40">
        <v>36180</v>
      </c>
      <c r="B40">
        <f>COUNTIF('2025_discovered_ijs_competition'!B:B,Sheet1!A40)</f>
        <v>1</v>
      </c>
    </row>
    <row r="41" spans="1:2" x14ac:dyDescent="0.2">
      <c r="A41">
        <v>36181</v>
      </c>
      <c r="B41">
        <f>COUNTIF('2025_discovered_ijs_competition'!B:B,Sheet1!A41)</f>
        <v>1</v>
      </c>
    </row>
    <row r="42" spans="1:2" x14ac:dyDescent="0.2">
      <c r="A42">
        <v>36182</v>
      </c>
      <c r="B42">
        <f>COUNTIF('2025_discovered_ijs_competition'!B:B,Sheet1!A42)</f>
        <v>1</v>
      </c>
    </row>
    <row r="43" spans="1:2" x14ac:dyDescent="0.2">
      <c r="A43">
        <v>36224</v>
      </c>
      <c r="B43">
        <f>COUNTIF('2025_discovered_ijs_competition'!B:B,Sheet1!A43)</f>
        <v>1</v>
      </c>
    </row>
    <row r="44" spans="1:2" x14ac:dyDescent="0.2">
      <c r="A44">
        <v>36275</v>
      </c>
      <c r="B44">
        <f>COUNTIF('2025_discovered_ijs_competition'!B:B,Sheet1!A44)</f>
        <v>1</v>
      </c>
    </row>
    <row r="45" spans="1:2" x14ac:dyDescent="0.2">
      <c r="A45">
        <v>36286</v>
      </c>
      <c r="B45">
        <f>COUNTIF('2025_discovered_ijs_competition'!B:B,Sheet1!A45)</f>
        <v>1</v>
      </c>
    </row>
    <row r="46" spans="1:2" x14ac:dyDescent="0.2">
      <c r="A46">
        <v>36312</v>
      </c>
      <c r="B46">
        <f>COUNTIF('2025_discovered_ijs_competition'!B:B,Sheet1!A46)</f>
        <v>1</v>
      </c>
    </row>
    <row r="47" spans="1:2" x14ac:dyDescent="0.2">
      <c r="A47">
        <v>36347</v>
      </c>
      <c r="B47">
        <f>COUNTIF('2025_discovered_ijs_competition'!B:B,Sheet1!A47)</f>
        <v>1</v>
      </c>
    </row>
    <row r="48" spans="1:2" x14ac:dyDescent="0.2">
      <c r="A48">
        <v>36353</v>
      </c>
      <c r="B48">
        <f>COUNTIF('2025_discovered_ijs_competition'!B:B,Sheet1!A48)</f>
        <v>1</v>
      </c>
    </row>
    <row r="50" spans="1:2" x14ac:dyDescent="0.2">
      <c r="A50">
        <v>36375</v>
      </c>
      <c r="B50">
        <f>COUNTIF('2025_discovered_ijs_competition'!B:B,Sheet1!A50)</f>
        <v>1</v>
      </c>
    </row>
    <row r="51" spans="1:2" x14ac:dyDescent="0.2">
      <c r="A51">
        <v>36379</v>
      </c>
      <c r="B51">
        <f>COUNTIF('2025_discovered_ijs_competition'!B:B,Sheet1!A51)</f>
        <v>1</v>
      </c>
    </row>
    <row r="52" spans="1:2" x14ac:dyDescent="0.2">
      <c r="A52">
        <v>36397</v>
      </c>
      <c r="B52">
        <f>COUNTIF('2025_discovered_ijs_competition'!B:B,Sheet1!A52)</f>
        <v>1</v>
      </c>
    </row>
    <row r="53" spans="1:2" x14ac:dyDescent="0.2">
      <c r="A53">
        <v>36398</v>
      </c>
      <c r="B53">
        <f>COUNTIF('2025_discovered_ijs_competition'!B:B,Sheet1!A53)</f>
        <v>1</v>
      </c>
    </row>
    <row r="54" spans="1:2" x14ac:dyDescent="0.2">
      <c r="A54">
        <v>36402</v>
      </c>
      <c r="B54">
        <f>COUNTIF('2025_discovered_ijs_competition'!B:B,Sheet1!A54)</f>
        <v>1</v>
      </c>
    </row>
    <row r="55" spans="1:2" x14ac:dyDescent="0.2">
      <c r="A55">
        <v>36406</v>
      </c>
      <c r="B55">
        <f>COUNTIF('2025_discovered_ijs_competition'!B:B,Sheet1!A55)</f>
        <v>1</v>
      </c>
    </row>
    <row r="56" spans="1:2" x14ac:dyDescent="0.2">
      <c r="A56">
        <v>36430</v>
      </c>
      <c r="B56">
        <f>COUNTIF('2025_discovered_ijs_competition'!B:B,Sheet1!A56)</f>
        <v>1</v>
      </c>
    </row>
    <row r="57" spans="1:2" x14ac:dyDescent="0.2">
      <c r="A57">
        <v>36459</v>
      </c>
      <c r="B57">
        <f>COUNTIF('2025_discovered_ijs_competition'!B:B,Sheet1!A57)</f>
        <v>1</v>
      </c>
    </row>
    <row r="58" spans="1:2" x14ac:dyDescent="0.2">
      <c r="A58">
        <v>36460</v>
      </c>
      <c r="B58">
        <f>COUNTIF('2025_discovered_ijs_competition'!B:B,Sheet1!A58)</f>
        <v>1</v>
      </c>
    </row>
    <row r="59" spans="1:2" x14ac:dyDescent="0.2">
      <c r="A59">
        <v>36463</v>
      </c>
      <c r="B59">
        <f>COUNTIF('2025_discovered_ijs_competition'!B:B,Sheet1!A59)</f>
        <v>1</v>
      </c>
    </row>
    <row r="60" spans="1:2" x14ac:dyDescent="0.2">
      <c r="A60">
        <v>36471</v>
      </c>
      <c r="B60">
        <f>COUNTIF('2025_discovered_ijs_competition'!B:B,Sheet1!A60)</f>
        <v>1</v>
      </c>
    </row>
    <row r="61" spans="1:2" x14ac:dyDescent="0.2">
      <c r="A61">
        <v>36539</v>
      </c>
      <c r="B61">
        <f>COUNTIF('2025_discovered_ijs_competition'!B:B,Sheet1!A61)</f>
        <v>1</v>
      </c>
    </row>
    <row r="62" spans="1:2" x14ac:dyDescent="0.2">
      <c r="A62">
        <v>36628</v>
      </c>
      <c r="B62">
        <f>COUNTIF('2025_discovered_ijs_competition'!B:B,Sheet1!A62)</f>
        <v>1</v>
      </c>
    </row>
    <row r="63" spans="1:2" x14ac:dyDescent="0.2">
      <c r="A63">
        <v>36658</v>
      </c>
      <c r="B63">
        <f>COUNTIF('2025_discovered_ijs_competition'!B:B,Sheet1!A63)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new only</vt:lpstr>
      <vt:lpstr>2025_discovered_ijs_competition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Rachael Naphtal</dc:creator>
  <cp:lastModifiedBy>Rachael Naphtal</cp:lastModifiedBy>
  <dcterms:created xsi:type="dcterms:W3CDTF">2026-05-11T17:55:19Z</dcterms:created>
  <dcterms:modified xsi:type="dcterms:W3CDTF">2026-05-18T16:29:17Z</dcterms:modified>
</cp:coreProperties>
</file>